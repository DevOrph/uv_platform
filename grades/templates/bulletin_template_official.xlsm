
<file path=[Content_Types].xml><?xml version="1.0" encoding="utf-8"?>
<Types xmlns="http://schemas.openxmlformats.org/package/2006/content-types">
  <Default Extension="fntdata" ContentType="application/x-fontdata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vbaProject.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4.xml" ContentType="application/vnd.openxmlformats-officedocument.spreadsheetml.worksheet+xml"/>
  <Override PartName="/xl/worksheets/sheet7.xml" ContentType="application/vnd.openxmlformats-officedocument.spreadsheetml.worksheet+xml"/>
  <Override PartName="/xl/worksheets/sheet3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2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4.xml" ContentType="application/vnd.openxmlformats-officedocument.drawing+xml"/>
  <Override PartName="/xl/drawings/drawing3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5.xml" ContentType="application/vnd.openxmlformats-officedocument.drawing+xml"/>
  <Override PartName="/xl/drawings/drawing10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media/image4.wmf" ContentType="image/x-wmf"/>
  <Override PartName="/xl/media/image1.wmf" ContentType="image/x-wmf"/>
  <Override PartName="/xl/media/image3.wmf" ContentType="image/x-wmf"/>
  <Override PartName="/xl/media/image5.wmf" ContentType="image/x-wmf"/>
  <Override PartName="/xl/media/image6.wmf" ContentType="image/x-wmf"/>
  <Override PartName="/xl/media/image7.wmf" ContentType="image/x-wmf"/>
  <Override PartName="/xl/media/image2.wmf" ContentType="image/x-wmf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9"/>
  </bookViews>
  <sheets>
    <sheet name="SEMESTRE N°5" sheetId="1" state="visible" r:id="rId4"/>
    <sheet name="Feuil1" sheetId="2" state="hidden" r:id="rId5"/>
    <sheet name="BULL_N0" sheetId="3" state="visible" r:id="rId6"/>
    <sheet name="BULL_N1" sheetId="4" state="visible" r:id="rId7"/>
    <sheet name="BULL_N2" sheetId="5" state="visible" r:id="rId8"/>
    <sheet name="BULL_N3" sheetId="6" state="visible" r:id="rId9"/>
    <sheet name="BULL_N4" sheetId="7" state="visible" r:id="rId10"/>
    <sheet name="BULL_N5" sheetId="8" state="visible" r:id="rId11"/>
    <sheet name="BULL_N6" sheetId="9" state="visible" r:id="rId12"/>
    <sheet name="BULL_N7" sheetId="10" state="visible" r:id="rId13"/>
    <sheet name="BULL_VRAI" sheetId="11" state="hidden" r:id="rId14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<sst xmlns="http://schemas.openxmlformats.org/spreadsheetml/2006/main" count="634" uniqueCount="146">
  <si>
    <t xml:space="preserve">Classe : Licence Pro. Informatique-3ème</t>
  </si>
  <si>
    <t xml:space="preserve">Année universitaire 2024-2025/ Option : Informatique et monétique Bancaire</t>
  </si>
  <si>
    <t xml:space="preserve">2024/2025</t>
  </si>
  <si>
    <t xml:space="preserve">Résultats du Semestre 5</t>
  </si>
  <si>
    <t xml:space="preserve">Unités d'enseignement</t>
  </si>
  <si>
    <t xml:space="preserve">ING510-Ingénierie des réseaux </t>
  </si>
  <si>
    <t xml:space="preserve">NG520-Ingénierie des systèmes</t>
  </si>
  <si>
    <t xml:space="preserve">BNQ520-Environnement 
bancaire</t>
  </si>
  <si>
    <t xml:space="preserve">EPC540-Environnement 
Professionnel et communication 5</t>
  </si>
  <si>
    <t xml:space="preserve">Modules</t>
  </si>
  <si>
    <t xml:space="preserve">Certification CCNA                 </t>
  </si>
  <si>
    <t xml:space="preserve">Administration Linux     </t>
  </si>
  <si>
    <t xml:space="preserve">Monnaie &amp; Système bancaire</t>
  </si>
  <si>
    <t xml:space="preserve">Systèmes de paiement interbancaire</t>
  </si>
  <si>
    <t xml:space="preserve">Principe de la monétique</t>
  </si>
  <si>
    <t xml:space="preserve">Spécifications EMV</t>
  </si>
  <si>
    <t xml:space="preserve">Programmation JavaCard</t>
  </si>
  <si>
    <t xml:space="preserve">COM541-Communication d’entreprise</t>
  </si>
  <si>
    <t xml:space="preserve">ANG542-Anglais Technique</t>
  </si>
  <si>
    <t xml:space="preserve">DIN543-Droit informatique</t>
  </si>
  <si>
    <t xml:space="preserve">Total crédit</t>
  </si>
  <si>
    <t xml:space="preserve">Notes</t>
  </si>
  <si>
    <t xml:space="preserve">EXA(%)</t>
  </si>
  <si>
    <t xml:space="preserve">CC(%)</t>
  </si>
  <si>
    <t xml:space="preserve">Moyenne</t>
  </si>
  <si>
    <t xml:space="preserve">Résultat</t>
  </si>
  <si>
    <t xml:space="preserve">Résultat Semestre</t>
  </si>
  <si>
    <r>
      <rPr>
        <b val="true"/>
        <sz val="12"/>
        <color theme="0"/>
        <rFont val="Corbel"/>
        <family val="2"/>
        <charset val="1"/>
      </rPr>
      <t xml:space="preserve">VISUALISER LES BULLETTINS</t>
    </r>
    <r>
      <rPr>
        <b val="true"/>
        <sz val="14"/>
        <color theme="0"/>
        <rFont val="Corbel"/>
        <family val="2"/>
        <charset val="1"/>
      </rPr>
      <t xml:space="preserve"> </t>
    </r>
  </si>
  <si>
    <t xml:space="preserve">Nom(s) et Prénom(s)</t>
  </si>
  <si>
    <t xml:space="preserve">Date de naissance</t>
  </si>
  <si>
    <t xml:space="preserve">Nationalité</t>
  </si>
  <si>
    <t xml:space="preserve">Matricule</t>
  </si>
  <si>
    <t xml:space="preserve">Classe</t>
  </si>
  <si>
    <t xml:space="preserve">ABA NGUEMAH Samuel Junior</t>
  </si>
  <si>
    <t xml:space="preserve">27/11/2002</t>
  </si>
  <si>
    <t xml:space="preserve">Gabonaise</t>
  </si>
  <si>
    <t xml:space="preserve">ISSANGA-ANGOUE Quessia Germie</t>
  </si>
  <si>
    <t xml:space="preserve">29/03/2003</t>
  </si>
  <si>
    <t xml:space="preserve">MBADINGA IBOUANGA Evariste Firmin Désye</t>
  </si>
  <si>
    <t xml:space="preserve">11/05/2006</t>
  </si>
  <si>
    <t xml:space="preserve">NZOUGHE NGUEMA Paul Alain</t>
  </si>
  <si>
    <t xml:space="preserve">25/03/2002</t>
  </si>
  <si>
    <t xml:space="preserve">OTSAGHE Joseph Alexandre</t>
  </si>
  <si>
    <t xml:space="preserve">21/11/1999</t>
  </si>
  <si>
    <t xml:space="preserve">PAMBOU Christine Bienheureuse</t>
  </si>
  <si>
    <t xml:space="preserve">05/06/1999</t>
  </si>
  <si>
    <t xml:space="preserve">01/04/2003</t>
  </si>
  <si>
    <t xml:space="preserve">14/09/2004</t>
  </si>
  <si>
    <t xml:space="preserve">Moyennes générale</t>
  </si>
  <si>
    <t xml:space="preserve">Moyenne la + faible</t>
  </si>
  <si>
    <t xml:space="preserve">Moyenne la + forte</t>
  </si>
  <si>
    <t xml:space="preserve">ABA NGUEMAH</t>
  </si>
  <si>
    <t xml:space="preserve">Samuel Junior</t>
  </si>
  <si>
    <t xml:space="preserve">ISSANGA-ANGOUE</t>
  </si>
  <si>
    <t xml:space="preserve">Quessia Germie</t>
  </si>
  <si>
    <t xml:space="preserve">MBADINGA IBOUANGA</t>
  </si>
  <si>
    <t xml:space="preserve">Evariste Firmin Désye</t>
  </si>
  <si>
    <t xml:space="preserve">NZOUGHE NGUEMA</t>
  </si>
  <si>
    <t xml:space="preserve">Paul Alain</t>
  </si>
  <si>
    <t xml:space="preserve">OTSAGHE</t>
  </si>
  <si>
    <t xml:space="preserve">Joseph Alexandre</t>
  </si>
  <si>
    <t xml:space="preserve">PAMBOU</t>
  </si>
  <si>
    <t xml:space="preserve">Christine Bienheureuse</t>
  </si>
  <si>
    <r>
      <rPr>
        <sz val="18"/>
        <color rgb="FF00B0F0"/>
        <rFont val="Corbel"/>
        <family val="2"/>
        <charset val="1"/>
      </rPr>
      <t xml:space="preserve">E</t>
    </r>
    <r>
      <rPr>
        <sz val="18"/>
        <color theme="1"/>
        <rFont val="Corbel"/>
        <family val="2"/>
        <charset val="1"/>
      </rPr>
      <t xml:space="preserve">cole </t>
    </r>
    <r>
      <rPr>
        <sz val="18"/>
        <color rgb="FF00B0F0"/>
        <rFont val="Corbel"/>
        <family val="2"/>
        <charset val="1"/>
      </rPr>
      <t xml:space="preserve">S</t>
    </r>
    <r>
      <rPr>
        <sz val="18"/>
        <color theme="1"/>
        <rFont val="Corbel"/>
        <family val="2"/>
        <charset val="1"/>
      </rPr>
      <t xml:space="preserve">upérieure d’</t>
    </r>
    <r>
      <rPr>
        <sz val="18"/>
        <color rgb="FF00B0F0"/>
        <rFont val="Corbel"/>
        <family val="2"/>
        <charset val="1"/>
      </rPr>
      <t xml:space="preserve">I</t>
    </r>
    <r>
      <rPr>
        <sz val="18"/>
        <color theme="1"/>
        <rFont val="Corbel"/>
        <family val="2"/>
        <charset val="1"/>
      </rPr>
      <t xml:space="preserve">ngénierie et d’</t>
    </r>
    <r>
      <rPr>
        <sz val="18"/>
        <color rgb="FF00B0F0"/>
        <rFont val="Corbel"/>
        <family val="2"/>
        <charset val="1"/>
      </rPr>
      <t xml:space="preserve">I</t>
    </r>
    <r>
      <rPr>
        <sz val="18"/>
        <color theme="1"/>
        <rFont val="Corbel"/>
        <family val="2"/>
        <charset val="1"/>
      </rPr>
      <t xml:space="preserve">nnovation </t>
    </r>
    <r>
      <rPr>
        <sz val="18"/>
        <color rgb="FF00B0F0"/>
        <rFont val="Corbel"/>
        <family val="2"/>
        <charset val="1"/>
      </rPr>
      <t xml:space="preserve">T</t>
    </r>
    <r>
      <rPr>
        <sz val="18"/>
        <color theme="1"/>
        <rFont val="Corbel"/>
        <family val="2"/>
        <charset val="1"/>
      </rPr>
      <t xml:space="preserve">echnologique
 Année Académique 2024/2025
</t>
    </r>
    <r>
      <rPr>
        <sz val="10"/>
        <color theme="1"/>
        <rFont val="Corbel"/>
        <family val="2"/>
        <charset val="1"/>
      </rPr>
      <t xml:space="preserve">Décrets N°0071/PRMESRSIT &amp; 0072/PR/MESRSIT</t>
    </r>
  </si>
  <si>
    <t xml:space="preserve">RELEVE DE NOTE SEMESTRE 5</t>
  </si>
  <si>
    <t xml:space="preserve">Etudiant(e) :                   </t>
  </si>
  <si>
    <t xml:space="preserve">Inscrit(e) en :</t>
  </si>
  <si>
    <t xml:space="preserve">Licence Professionnelle 3ème année informatique</t>
  </si>
  <si>
    <t xml:space="preserve">Date de naissance :         </t>
  </si>
  <si>
    <t xml:space="preserve">Classe:</t>
  </si>
  <si>
    <t xml:space="preserve">3ème année</t>
  </si>
  <si>
    <t xml:space="preserve">Nationalité :                     </t>
  </si>
  <si>
    <t xml:space="preserve">Option:</t>
  </si>
  <si>
    <t xml:space="preserve">Matricule    :                    </t>
  </si>
  <si>
    <t xml:space="preserve">Redoublant:</t>
  </si>
  <si>
    <t xml:space="preserve">Non</t>
  </si>
  <si>
    <t xml:space="preserve">Unités d'enseignement  (UE)</t>
  </si>
  <si>
    <t xml:space="preserve"> </t>
  </si>
  <si>
    <t xml:space="preserve">Résultats obtenus</t>
  </si>
  <si>
    <t xml:space="preserve">Session normale</t>
  </si>
  <si>
    <t xml:space="preserve">Session de rattrapage</t>
  </si>
  <si>
    <t xml:space="preserve">Décision</t>
  </si>
  <si>
    <t xml:space="preserve">SEMESTRE 5</t>
  </si>
  <si>
    <t xml:space="preserve">Intitulé</t>
  </si>
  <si>
    <t xml:space="preserve">Crédit</t>
  </si>
  <si>
    <t xml:space="preserve">Module</t>
  </si>
  <si>
    <t xml:space="preserve">UE</t>
  </si>
  <si>
    <t xml:space="preserve">Note</t>
  </si>
  <si>
    <t xml:space="preserve">NG510</t>
  </si>
  <si>
    <t xml:space="preserve">Ingénierie des réseaux</t>
  </si>
  <si>
    <t xml:space="preserve">Certification CCNA</t>
  </si>
  <si>
    <t xml:space="preserve">Administration Linux</t>
  </si>
  <si>
    <t xml:space="preserve">NG520</t>
  </si>
  <si>
    <t xml:space="preserve">Environnement bancaire</t>
  </si>
  <si>
    <t xml:space="preserve">BNQ520</t>
  </si>
  <si>
    <t xml:space="preserve">Introduction à la 
monétique</t>
  </si>
  <si>
    <t xml:space="preserve">EPC540</t>
  </si>
  <si>
    <t xml:space="preserve">Environnement 
Professionnel et communication 5</t>
  </si>
  <si>
    <t xml:space="preserve">Communication d’entreprise</t>
  </si>
  <si>
    <t xml:space="preserve">Anglais Technique</t>
  </si>
  <si>
    <t xml:space="preserve">Droit informatique</t>
  </si>
  <si>
    <t xml:space="preserve">Total</t>
  </si>
  <si>
    <t xml:space="preserve">Crédits validés</t>
  </si>
  <si>
    <t xml:space="preserve">La Directrice Générale</t>
  </si>
  <si>
    <t xml:space="preserve">Décision finale</t>
  </si>
  <si>
    <t xml:space="preserve">Absences non justifiées</t>
  </si>
  <si>
    <t xml:space="preserve">Dr. Zita Hermance MOUSSAMBI ép MABIALA</t>
  </si>
  <si>
    <t xml:space="preserve">Ecole supérieure privée reconnue par l’Etat, Téléphone +241 7623 7638 Email : contact@esiitech-gabon.com
Site web www.esiitech-gabon.com</t>
  </si>
  <si>
    <t xml:space="preserve">3ème Année Specialité</t>
  </si>
  <si>
    <t xml:space="preserve">Informatique &amp; Monétique Bancaire</t>
  </si>
  <si>
    <r>
      <rPr>
        <sz val="18"/>
        <color rgb="FF00B0F0"/>
        <rFont val="Corbel"/>
        <family val="2"/>
        <charset val="1"/>
      </rPr>
      <t xml:space="preserve">E</t>
    </r>
    <r>
      <rPr>
        <sz val="18"/>
        <color theme="1"/>
        <rFont val="Corbel"/>
        <family val="2"/>
        <charset val="1"/>
      </rPr>
      <t xml:space="preserve">cole </t>
    </r>
    <r>
      <rPr>
        <sz val="18"/>
        <color rgb="FF00B0F0"/>
        <rFont val="Corbel"/>
        <family val="2"/>
        <charset val="1"/>
      </rPr>
      <t xml:space="preserve">S</t>
    </r>
    <r>
      <rPr>
        <sz val="18"/>
        <color theme="1"/>
        <rFont val="Corbel"/>
        <family val="2"/>
        <charset val="1"/>
      </rPr>
      <t xml:space="preserve">upérieure d’</t>
    </r>
    <r>
      <rPr>
        <sz val="18"/>
        <color rgb="FF00B0F0"/>
        <rFont val="Corbel"/>
        <family val="2"/>
        <charset val="1"/>
      </rPr>
      <t xml:space="preserve">I</t>
    </r>
    <r>
      <rPr>
        <sz val="18"/>
        <color theme="1"/>
        <rFont val="Corbel"/>
        <family val="2"/>
        <charset val="1"/>
      </rPr>
      <t xml:space="preserve">ngénierie et d’</t>
    </r>
    <r>
      <rPr>
        <sz val="18"/>
        <color rgb="FF00B0F0"/>
        <rFont val="Corbel"/>
        <family val="2"/>
        <charset val="1"/>
      </rPr>
      <t xml:space="preserve">I</t>
    </r>
    <r>
      <rPr>
        <sz val="18"/>
        <color theme="1"/>
        <rFont val="Corbel"/>
        <family val="2"/>
        <charset val="1"/>
      </rPr>
      <t xml:space="preserve">nnovation </t>
    </r>
    <r>
      <rPr>
        <sz val="18"/>
        <color rgb="FF00B0F0"/>
        <rFont val="Corbel"/>
        <family val="2"/>
        <charset val="1"/>
      </rPr>
      <t xml:space="preserve">T</t>
    </r>
    <r>
      <rPr>
        <sz val="18"/>
        <color theme="1"/>
        <rFont val="Corbel"/>
        <family val="2"/>
        <charset val="1"/>
      </rPr>
      <t xml:space="preserve">echnologique
 Année Académique 2023/2024
</t>
    </r>
    <r>
      <rPr>
        <sz val="10"/>
        <color theme="1"/>
        <rFont val="Corbel"/>
        <family val="2"/>
        <charset val="1"/>
      </rPr>
      <t xml:space="preserve">Décrets N°0071/PRMESRSIT &amp; 0072/PR/MESRSIT</t>
    </r>
  </si>
  <si>
    <t xml:space="preserve">3ème Année</t>
  </si>
  <si>
    <t xml:space="preserve">Licence Pro. Informatique-3ème Année </t>
  </si>
  <si>
    <t xml:space="preserve">Informatique &amp;Monétique Bancaire</t>
  </si>
  <si>
    <t xml:space="preserve">3ème année </t>
  </si>
  <si>
    <t xml:space="preserve">Informatique &amp; Monétique Bancaire </t>
  </si>
  <si>
    <t xml:space="preserve">Cybers défense</t>
  </si>
  <si>
    <t xml:space="preserve">L-3</t>
  </si>
  <si>
    <t xml:space="preserve">Date de naissance :       </t>
  </si>
  <si>
    <t xml:space="preserve">RELEVE DE NOTE SEMESTRE 3</t>
  </si>
  <si>
    <t xml:space="preserve">Etudiant(e)                    </t>
  </si>
  <si>
    <t xml:space="preserve">Inscrit(e) en</t>
  </si>
  <si>
    <t xml:space="preserve">Date de naissance         </t>
  </si>
  <si>
    <t xml:space="preserve">Nationalité                     </t>
  </si>
  <si>
    <t xml:space="preserve">Option</t>
  </si>
  <si>
    <t xml:space="preserve">Matricule                       </t>
  </si>
  <si>
    <t xml:space="preserve">Redoublant</t>
  </si>
  <si>
    <t xml:space="preserve">Session</t>
  </si>
  <si>
    <t xml:space="preserve">SEMESTRE 3</t>
  </si>
  <si>
    <t xml:space="preserve">RES310</t>
  </si>
  <si>
    <t xml:space="preserve">Réseaux Informatique</t>
  </si>
  <si>
    <t xml:space="preserve">Architecture des Réseaux</t>
  </si>
  <si>
    <t xml:space="preserve">Réseau Internet</t>
  </si>
  <si>
    <t xml:space="preserve">EPR340</t>
  </si>
  <si>
    <t xml:space="preserve">Environnement Professionnel</t>
  </si>
  <si>
    <t xml:space="preserve">Droit du travail</t>
  </si>
  <si>
    <t xml:space="preserve">Gestion Projet</t>
  </si>
  <si>
    <t xml:space="preserve">MTH330</t>
  </si>
  <si>
    <t xml:space="preserve">Mathématique</t>
  </si>
  <si>
    <t xml:space="preserve">Probabilités &amp; Statistiques</t>
  </si>
  <si>
    <t xml:space="preserve">Cryptographie Appliquée</t>
  </si>
  <si>
    <t xml:space="preserve">POO320</t>
  </si>
  <si>
    <t xml:space="preserve">UML &amp; Bases de données</t>
  </si>
  <si>
    <t xml:space="preserve">Programmation Java 1</t>
  </si>
  <si>
    <t xml:space="preserve">Licence Pro. Informatique-1ère année Tronc commun</t>
  </si>
  <si>
    <t xml:space="preserve">Licence Pro. Informatique-2ème année Tronc commu</t>
  </si>
</sst>
</file>

<file path=xl/styles.xml><?xml version="1.0" encoding="utf-8"?>
<styleSheet xmlns="http://schemas.openxmlformats.org/spreadsheetml/2006/main">
  <numFmts count="4">
    <numFmt numFmtId="164" formatCode="General"/>
    <numFmt numFmtId="165" formatCode="@"/>
    <numFmt numFmtId="166" formatCode="0.00"/>
    <numFmt numFmtId="167" formatCode="0"/>
  </numFmts>
  <fonts count="49">
    <font>
      <sz val="11"/>
      <color theme="1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1"/>
      <color theme="1"/>
      <name val="Corbel"/>
      <family val="2"/>
      <charset val="1"/>
    </font>
    <font>
      <b val="true"/>
      <sz val="12"/>
      <color theme="1"/>
      <name val="Corbel"/>
      <family val="2"/>
      <charset val="1"/>
    </font>
    <font>
      <sz val="14"/>
      <color theme="1"/>
      <name val="Corbel"/>
      <family val="2"/>
      <charset val="1"/>
    </font>
    <font>
      <b val="true"/>
      <sz val="14"/>
      <color theme="1"/>
      <name val="Corbel"/>
      <family val="2"/>
      <charset val="1"/>
    </font>
    <font>
      <b val="true"/>
      <sz val="14"/>
      <name val="Corbel"/>
      <family val="2"/>
      <charset val="1"/>
    </font>
    <font>
      <b val="true"/>
      <sz val="14"/>
      <color theme="0"/>
      <name val="Corbel"/>
      <family val="2"/>
      <charset val="1"/>
    </font>
    <font>
      <sz val="8"/>
      <color theme="1"/>
      <name val="Corbel"/>
      <family val="2"/>
      <charset val="1"/>
    </font>
    <font>
      <sz val="8"/>
      <name val="Corbel"/>
      <family val="2"/>
      <charset val="1"/>
    </font>
    <font>
      <sz val="8"/>
      <color theme="0"/>
      <name val="Corbel"/>
      <family val="2"/>
      <charset val="1"/>
    </font>
    <font>
      <b val="true"/>
      <sz val="8"/>
      <color theme="0"/>
      <name val="Corbel"/>
      <family val="2"/>
      <charset val="1"/>
    </font>
    <font>
      <b val="true"/>
      <sz val="8"/>
      <color theme="1"/>
      <name val="Corbel"/>
      <family val="2"/>
      <charset val="1"/>
    </font>
    <font>
      <b val="true"/>
      <sz val="11"/>
      <color theme="1"/>
      <name val="Corbel"/>
      <family val="2"/>
      <charset val="1"/>
    </font>
    <font>
      <b val="true"/>
      <sz val="12"/>
      <color theme="0"/>
      <name val="Corbel"/>
      <family val="2"/>
      <charset val="1"/>
    </font>
    <font>
      <i val="true"/>
      <sz val="11"/>
      <color theme="0"/>
      <name val="Corbel"/>
      <family val="2"/>
      <charset val="1"/>
    </font>
    <font>
      <i val="true"/>
      <sz val="11"/>
      <color theme="1"/>
      <name val="Corbel"/>
      <family val="2"/>
      <charset val="1"/>
    </font>
    <font>
      <sz val="10"/>
      <color theme="1"/>
      <name val="Corbel"/>
      <family val="2"/>
      <charset val="1"/>
    </font>
    <font>
      <sz val="12"/>
      <color theme="1"/>
      <name val="Corbel"/>
      <family val="2"/>
      <charset val="1"/>
    </font>
    <font>
      <sz val="9"/>
      <color theme="1"/>
      <name val="Corbel"/>
      <family val="2"/>
      <charset val="1"/>
    </font>
    <font>
      <b val="true"/>
      <sz val="9"/>
      <color theme="1"/>
      <name val="Corbel"/>
      <family val="2"/>
      <charset val="1"/>
    </font>
    <font>
      <b val="true"/>
      <sz val="10"/>
      <color theme="1"/>
      <name val="Corbel"/>
      <family val="2"/>
      <charset val="1"/>
    </font>
    <font>
      <sz val="10"/>
      <color rgb="FF1F3863"/>
      <name val="Tahoma"/>
      <family val="2"/>
      <charset val="1"/>
    </font>
    <font>
      <sz val="9"/>
      <color rgb="FF1F3863"/>
      <name val="Tahoma"/>
      <family val="2"/>
      <charset val="1"/>
    </font>
    <font>
      <sz val="18"/>
      <color rgb="FF00B0F0"/>
      <name val="Corbel"/>
      <family val="2"/>
      <charset val="1"/>
    </font>
    <font>
      <sz val="18"/>
      <color theme="1"/>
      <name val="Corbel"/>
      <family val="2"/>
      <charset val="1"/>
    </font>
    <font>
      <b val="true"/>
      <sz val="14"/>
      <color rgb="FF000000"/>
      <name val="Arial"/>
      <family val="2"/>
      <charset val="1"/>
    </font>
    <font>
      <b val="true"/>
      <sz val="14"/>
      <color rgb="FF00B0F0"/>
      <name val="Corbel"/>
      <family val="2"/>
      <charset val="1"/>
    </font>
    <font>
      <b val="true"/>
      <sz val="10"/>
      <color rgb="FF404040"/>
      <name val="Corbel"/>
      <family val="2"/>
      <charset val="1"/>
    </font>
    <font>
      <b val="true"/>
      <sz val="10"/>
      <color rgb="FF00B0F0"/>
      <name val="Corbel"/>
      <family val="2"/>
      <charset val="1"/>
    </font>
    <font>
      <b val="true"/>
      <sz val="11"/>
      <color theme="0"/>
      <name val="Corbel"/>
      <family val="2"/>
      <charset val="1"/>
    </font>
    <font>
      <sz val="11"/>
      <color theme="0"/>
      <name val="Corbel"/>
      <family val="2"/>
      <charset val="1"/>
    </font>
    <font>
      <b val="true"/>
      <sz val="10"/>
      <color theme="0"/>
      <name val="Corbel"/>
      <family val="2"/>
      <charset val="1"/>
    </font>
    <font>
      <sz val="10"/>
      <color theme="0"/>
      <name val="Corbel"/>
      <family val="2"/>
      <charset val="1"/>
    </font>
    <font>
      <b val="true"/>
      <sz val="11"/>
      <color rgb="FF00B0F0"/>
      <name val="Corbel"/>
      <family val="2"/>
      <charset val="1"/>
    </font>
    <font>
      <b val="true"/>
      <sz val="12"/>
      <color rgb="FF00B0F0"/>
      <name val="Corbel"/>
      <family val="2"/>
      <charset val="1"/>
    </font>
    <font>
      <b val="true"/>
      <sz val="14"/>
      <color theme="1"/>
      <name val="Calibri"/>
      <family val="2"/>
      <charset val="1"/>
    </font>
    <font>
      <b val="true"/>
      <i val="true"/>
      <u val="single"/>
      <sz val="14"/>
      <color theme="1"/>
      <name val="Corbel"/>
      <family val="2"/>
      <charset val="1"/>
    </font>
    <font>
      <b val="true"/>
      <sz val="11"/>
      <name val="Corbel"/>
      <family val="2"/>
      <charset val="1"/>
    </font>
    <font>
      <b val="true"/>
      <i val="true"/>
      <u val="single"/>
      <sz val="12"/>
      <color theme="1"/>
      <name val="Corbel"/>
      <family val="2"/>
      <charset val="1"/>
    </font>
    <font>
      <sz val="10"/>
      <color theme="1"/>
      <name val="Maiandra GD"/>
      <family val="2"/>
      <charset val="1"/>
    </font>
    <font>
      <b val="true"/>
      <sz val="12"/>
      <name val="Corbel"/>
      <family val="2"/>
      <charset val="1"/>
    </font>
    <font>
      <sz val="11"/>
      <color rgb="FF00B0F0"/>
      <name val="Calibri"/>
      <family val="2"/>
      <charset val="1"/>
    </font>
    <font>
      <b val="true"/>
      <i val="true"/>
      <sz val="14"/>
      <color theme="1"/>
      <name val="Corbel"/>
      <family val="2"/>
      <charset val="1"/>
    </font>
    <font>
      <sz val="9"/>
      <color theme="1"/>
      <name val="Calibri"/>
      <family val="2"/>
      <charset val="1"/>
    </font>
    <font>
      <sz val="18"/>
      <color rgb="FF767171"/>
      <name val="Calibri"/>
      <family val="2"/>
    </font>
    <font>
      <sz val="14"/>
      <color rgb="FF767171"/>
      <name val="Calibri"/>
      <family val="2"/>
    </font>
  </fonts>
  <fills count="17">
    <fill>
      <patternFill patternType="none"/>
    </fill>
    <fill>
      <patternFill patternType="gray125"/>
    </fill>
    <fill>
      <patternFill patternType="solid">
        <fgColor theme="0"/>
        <bgColor rgb="FFF2F2F2"/>
      </patternFill>
    </fill>
    <fill>
      <patternFill patternType="solid">
        <fgColor theme="4" tint="0.7999"/>
        <bgColor rgb="FFE7E6E6"/>
      </patternFill>
    </fill>
    <fill>
      <patternFill patternType="solid">
        <fgColor rgb="FFFFC000"/>
        <bgColor rgb="FFFF9900"/>
      </patternFill>
    </fill>
    <fill>
      <patternFill patternType="solid">
        <fgColor rgb="FF002060"/>
        <bgColor rgb="FF1F3863"/>
      </patternFill>
    </fill>
    <fill>
      <patternFill patternType="solid">
        <fgColor rgb="FF00B0F0"/>
        <bgColor rgb="FF33CCCC"/>
      </patternFill>
    </fill>
    <fill>
      <patternFill patternType="solid">
        <fgColor theme="7" tint="0.3999"/>
        <bgColor rgb="FFFFE699"/>
      </patternFill>
    </fill>
    <fill>
      <patternFill patternType="solid">
        <fgColor theme="7" tint="0.5999"/>
        <bgColor rgb="FFFFF2CC"/>
      </patternFill>
    </fill>
    <fill>
      <patternFill patternType="solid">
        <fgColor theme="2" tint="-0.5"/>
        <bgColor rgb="FF666699"/>
      </patternFill>
    </fill>
    <fill>
      <patternFill patternType="solid">
        <fgColor theme="4" tint="0.3999"/>
        <bgColor rgb="FF969696"/>
      </patternFill>
    </fill>
    <fill>
      <patternFill patternType="solid">
        <fgColor theme="7" tint="0.7999"/>
        <bgColor rgb="FFF2F2F2"/>
      </patternFill>
    </fill>
    <fill>
      <patternFill patternType="solid">
        <fgColor theme="2"/>
        <bgColor rgb="FFEAEAEA"/>
      </patternFill>
    </fill>
    <fill>
      <patternFill patternType="solid">
        <fgColor rgb="FFFF0000"/>
        <bgColor rgb="FF993300"/>
      </patternFill>
    </fill>
    <fill>
      <patternFill patternType="solid">
        <fgColor theme="0" tint="-0.15"/>
        <bgColor rgb="FFDAE3F3"/>
      </patternFill>
    </fill>
    <fill>
      <patternFill patternType="solid">
        <fgColor theme="0" tint="-0.05"/>
        <bgColor rgb="FFEAEAEA"/>
      </patternFill>
    </fill>
    <fill>
      <patternFill patternType="solid">
        <fgColor rgb="FFEAEAEA"/>
        <bgColor rgb="FFE7E6E6"/>
      </patternFill>
    </fill>
  </fills>
  <borders count="41">
    <border diagonalUp="false" diagonalDown="false">
      <left/>
      <right/>
      <top/>
      <bottom/>
      <diagonal/>
    </border>
    <border diagonalUp="false" diagonalDown="false">
      <left style="hair"/>
      <right/>
      <top style="hair"/>
      <bottom style="hair"/>
      <diagonal/>
    </border>
    <border diagonalUp="false" diagonalDown="false">
      <left style="thin">
        <color rgb="FF00B0F0"/>
      </left>
      <right style="thin">
        <color rgb="FF00B0F0"/>
      </right>
      <top style="thin">
        <color rgb="FF00B0F0"/>
      </top>
      <bottom style="thin">
        <color rgb="FF00B0F0"/>
      </bottom>
      <diagonal/>
    </border>
    <border diagonalUp="false" diagonalDown="false">
      <left style="hair"/>
      <right style="hair"/>
      <top style="hair"/>
      <bottom style="hair"/>
      <diagonal/>
    </border>
    <border diagonalUp="false" diagonalDown="false">
      <left style="hair"/>
      <right style="hair"/>
      <top/>
      <bottom style="hair"/>
      <diagonal/>
    </border>
    <border diagonalUp="false" diagonalDown="false">
      <left style="hair"/>
      <right style="thin"/>
      <top style="hair"/>
      <bottom style="hair"/>
      <diagonal/>
    </border>
    <border diagonalUp="false" diagonalDown="false">
      <left style="thin"/>
      <right/>
      <top/>
      <bottom/>
      <diagonal/>
    </border>
    <border diagonalUp="false" diagonalDown="false">
      <left/>
      <right/>
      <top style="hair"/>
      <bottom style="hair"/>
      <diagonal/>
    </border>
    <border diagonalUp="false" diagonalDown="false">
      <left/>
      <right/>
      <top style="hair"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/>
      <right style="hair"/>
      <top style="hair"/>
      <bottom style="hair"/>
      <diagonal/>
    </border>
    <border diagonalUp="false" diagonalDown="false">
      <left/>
      <right style="thin"/>
      <top style="thin"/>
      <bottom style="thin"/>
      <diagonal/>
    </border>
    <border diagonalUp="false" diagonalDown="false">
      <left style="thick">
        <color rgb="FF1F3863"/>
      </left>
      <right style="thick">
        <color rgb="FF1F3863"/>
      </right>
      <top style="thick">
        <color rgb="FF1F3863"/>
      </top>
      <bottom style="thick">
        <color rgb="FF1F3863"/>
      </bottom>
      <diagonal/>
    </border>
    <border diagonalUp="false" diagonalDown="false">
      <left/>
      <right style="thick">
        <color rgb="FF1F3863"/>
      </right>
      <top style="thick">
        <color rgb="FF1F3863"/>
      </top>
      <bottom style="thick">
        <color rgb="FF1F3863"/>
      </bottom>
      <diagonal/>
    </border>
    <border diagonalUp="false" diagonalDown="false">
      <left style="thick">
        <color rgb="FF1F3863"/>
      </left>
      <right style="thick">
        <color rgb="FF1F3863"/>
      </right>
      <top/>
      <bottom style="thick">
        <color rgb="FF1F3863"/>
      </bottom>
      <diagonal/>
    </border>
    <border diagonalUp="false" diagonalDown="false">
      <left/>
      <right style="thick">
        <color rgb="FF1F3863"/>
      </right>
      <top/>
      <bottom style="thick">
        <color rgb="FF1F3863"/>
      </bottom>
      <diagonal/>
    </border>
    <border diagonalUp="false" diagonalDown="false">
      <left/>
      <right style="thin">
        <color rgb="FF00B0F0"/>
      </right>
      <top style="thin">
        <color rgb="FF00B0F0"/>
      </top>
      <bottom style="thin">
        <color rgb="FF00B0F0"/>
      </bottom>
      <diagonal/>
    </border>
    <border diagonalUp="false" diagonalDown="false">
      <left style="thin">
        <color rgb="FF00B0F0"/>
      </left>
      <right style="thin">
        <color rgb="FF00B0F0"/>
      </right>
      <top style="thin">
        <color rgb="FF00B0F0"/>
      </top>
      <bottom style="thin">
        <color theme="0"/>
      </bottom>
      <diagonal/>
    </border>
    <border diagonalUp="false" diagonalDown="false">
      <left style="thin">
        <color rgb="FF00B0F0"/>
      </left>
      <right/>
      <top style="thin">
        <color rgb="FF00B0F0"/>
      </top>
      <bottom style="thin">
        <color rgb="FF00B0F0"/>
      </bottom>
      <diagonal/>
    </border>
    <border diagonalUp="false" diagonalDown="false">
      <left style="thin">
        <color rgb="FF00B0F0"/>
      </left>
      <right/>
      <top/>
      <bottom/>
      <diagonal/>
    </border>
    <border diagonalUp="false" diagonalDown="false">
      <left/>
      <right/>
      <top style="thin">
        <color rgb="FF00B0F0"/>
      </top>
      <bottom/>
      <diagonal/>
    </border>
    <border diagonalUp="false" diagonalDown="false">
      <left style="thin">
        <color rgb="FF00B0F0"/>
      </left>
      <right style="thin">
        <color rgb="FF00B0F0"/>
      </right>
      <top/>
      <bottom style="thin">
        <color rgb="FF00B0F0"/>
      </bottom>
      <diagonal/>
    </border>
    <border diagonalUp="false" diagonalDown="false">
      <left style="thin">
        <color theme="0"/>
      </left>
      <right style="thin">
        <color rgb="FF00B0F0"/>
      </right>
      <top style="thin">
        <color theme="0"/>
      </top>
      <bottom style="thin">
        <color theme="0"/>
      </bottom>
      <diagonal/>
    </border>
    <border diagonalUp="false" diagonalDown="false"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 diagonalUp="false" diagonalDown="false">
      <left/>
      <right/>
      <top style="thin">
        <color rgb="FF00B0F0"/>
      </top>
      <bottom style="thin">
        <color rgb="FF00B0F0"/>
      </bottom>
      <diagonal/>
    </border>
    <border diagonalUp="false" diagonalDown="false">
      <left style="thin">
        <color rgb="FF00B0F0"/>
      </left>
      <right style="thin">
        <color rgb="FF00B0F0"/>
      </right>
      <top/>
      <bottom/>
      <diagonal/>
    </border>
    <border diagonalUp="false" diagonalDown="false">
      <left/>
      <right style="thin">
        <color rgb="FF00B0F0"/>
      </right>
      <top/>
      <bottom style="thin">
        <color rgb="FF00B0F0"/>
      </bottom>
      <diagonal/>
    </border>
    <border diagonalUp="false" diagonalDown="false">
      <left style="thin">
        <color rgb="FF00B0F0"/>
      </left>
      <right style="thin">
        <color rgb="FF00B0F0"/>
      </right>
      <top style="thin">
        <color rgb="FF00B0F0"/>
      </top>
      <bottom/>
      <diagonal/>
    </border>
    <border diagonalUp="false" diagonalDown="false">
      <left/>
      <right style="thin"/>
      <top style="thin">
        <color rgb="FF00B0F0"/>
      </top>
      <bottom style="thin">
        <color rgb="FF00B0F0"/>
      </bottom>
      <diagonal/>
    </border>
    <border diagonalUp="false" diagonalDown="false">
      <left/>
      <right style="double"/>
      <top/>
      <bottom/>
      <diagonal/>
    </border>
    <border diagonalUp="false" diagonalDown="false">
      <left style="thin">
        <color rgb="FF00B0F0"/>
      </left>
      <right/>
      <top/>
      <bottom style="thin">
        <color rgb="FF00B0F0"/>
      </bottom>
      <diagonal/>
    </border>
    <border diagonalUp="false" diagonalDown="false">
      <left style="thin">
        <color rgb="FF00B0F0"/>
      </left>
      <right style="thin">
        <color theme="0"/>
      </right>
      <top style="thin">
        <color rgb="FF00B0F0"/>
      </top>
      <bottom style="thin">
        <color theme="0"/>
      </bottom>
      <diagonal/>
    </border>
    <border diagonalUp="false" diagonalDown="false">
      <left style="thin">
        <color rgb="FF00B0F0"/>
      </left>
      <right style="thin">
        <color rgb="FF00B0F0"/>
      </right>
      <top style="thin">
        <color rgb="FF00B0F0"/>
      </top>
      <bottom style="double">
        <color rgb="FF00B0F0"/>
      </bottom>
      <diagonal/>
    </border>
    <border diagonalUp="false" diagonalDown="false">
      <left/>
      <right style="thin">
        <color rgb="FF00B0F0"/>
      </right>
      <top style="thin">
        <color rgb="FF00B0F0"/>
      </top>
      <bottom style="double">
        <color rgb="FF00B0F0"/>
      </bottom>
      <diagonal/>
    </border>
    <border diagonalUp="false" diagonalDown="false">
      <left style="thin">
        <color rgb="FF00B0F0"/>
      </left>
      <right style="thin">
        <color rgb="FF00B0F0"/>
      </right>
      <top/>
      <bottom style="double">
        <color rgb="FF00B0F0"/>
      </bottom>
      <diagonal/>
    </border>
    <border diagonalUp="false" diagonalDown="false">
      <left/>
      <right/>
      <top/>
      <bottom style="thin">
        <color rgb="FF00B0F0"/>
      </bottom>
      <diagonal/>
    </border>
    <border diagonalUp="false" diagonalDown="false">
      <left/>
      <right style="thin">
        <color rgb="FF00B0F0"/>
      </right>
      <top style="thin">
        <color rgb="FF00B0F0"/>
      </top>
      <bottom/>
      <diagonal/>
    </border>
    <border diagonalUp="false" diagonalDown="false">
      <left style="thin">
        <color rgb="FF00B0F0"/>
      </left>
      <right/>
      <top style="thin">
        <color rgb="FF00B0F0"/>
      </top>
      <bottom style="thin">
        <color theme="0"/>
      </bottom>
      <diagonal/>
    </border>
    <border diagonalUp="false" diagonalDown="false">
      <left style="thin">
        <color theme="0"/>
      </left>
      <right/>
      <top style="thin">
        <color theme="0"/>
      </top>
      <bottom style="thin">
        <color theme="0"/>
      </bottom>
      <diagonal/>
    </border>
    <border diagonalUp="false" diagonalDown="false">
      <left style="thin">
        <color rgb="FF00B0F0"/>
      </left>
      <right/>
      <top/>
      <bottom style="double">
        <color rgb="FF00B0F0"/>
      </bottom>
      <diagonal/>
    </border>
    <border diagonalUp="false" diagonalDown="false">
      <left style="thin">
        <color rgb="FF00B0F0"/>
      </left>
      <right style="thin"/>
      <top style="thin">
        <color rgb="FF00B0F0"/>
      </top>
      <bottom style="thin">
        <color rgb="FF00B0F0"/>
      </bottom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236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4" fillId="0" borderId="0" xfId="0" applyFont="true" applyBorder="false" applyAlignment="false" applyProtection="true">
      <alignment horizontal="general" vertical="bottom" textRotation="0" wrapText="false" indent="0" shrinkToFit="false"/>
      <protection locked="false" hidden="false"/>
    </xf>
    <xf numFmtId="164" fontId="4" fillId="0" borderId="0" xfId="0" applyFont="true" applyBorder="false" applyAlignment="false" applyProtection="true">
      <alignment horizontal="general" vertical="bottom" textRotation="0" wrapText="false" indent="0" shrinkToFit="false"/>
      <protection locked="false" hidden="false"/>
    </xf>
    <xf numFmtId="164" fontId="4" fillId="0" borderId="0" xfId="0" applyFont="true" applyBorder="false" applyAlignment="true" applyProtection="true">
      <alignment horizontal="center" vertical="center" textRotation="0" wrapText="false" indent="0" shrinkToFit="false"/>
      <protection locked="false" hidden="false"/>
    </xf>
    <xf numFmtId="164" fontId="4" fillId="0" borderId="0" xfId="0" applyFont="true" applyBorder="false" applyAlignment="true" applyProtection="true">
      <alignment horizontal="left" vertical="bottom" textRotation="0" wrapText="false" indent="0" shrinkToFit="false"/>
      <protection locked="false" hidden="false"/>
    </xf>
    <xf numFmtId="165" fontId="5" fillId="2" borderId="0" xfId="0" applyFont="true" applyBorder="false" applyAlignment="false" applyProtection="true">
      <alignment horizontal="general" vertical="bottom" textRotation="0" wrapText="false" indent="0" shrinkToFit="false"/>
      <protection locked="false" hidden="false"/>
    </xf>
    <xf numFmtId="165" fontId="6" fillId="2" borderId="0" xfId="0" applyFont="true" applyBorder="false" applyAlignment="false" applyProtection="true">
      <alignment horizontal="general" vertical="bottom" textRotation="0" wrapText="false" indent="0" shrinkToFit="false"/>
      <protection locked="false" hidden="false"/>
    </xf>
    <xf numFmtId="164" fontId="6" fillId="2" borderId="0" xfId="0" applyFont="true" applyBorder="false" applyAlignment="false" applyProtection="true">
      <alignment horizontal="general" vertical="bottom" textRotation="0" wrapText="false" indent="0" shrinkToFit="false"/>
      <protection locked="false" hidden="false"/>
    </xf>
    <xf numFmtId="164" fontId="4" fillId="2" borderId="0" xfId="0" applyFont="true" applyBorder="false" applyAlignment="false" applyProtection="true">
      <alignment horizontal="general" vertical="bottom" textRotation="0" wrapText="false" indent="0" shrinkToFit="false"/>
      <protection locked="false" hidden="false"/>
    </xf>
    <xf numFmtId="164" fontId="4" fillId="2" borderId="0" xfId="0" applyFont="true" applyBorder="false" applyAlignment="true" applyProtection="true">
      <alignment horizontal="center" vertical="center" textRotation="0" wrapText="false" indent="0" shrinkToFit="false"/>
      <protection locked="false" hidden="false"/>
    </xf>
    <xf numFmtId="164" fontId="4" fillId="2" borderId="0" xfId="0" applyFont="true" applyBorder="false" applyAlignment="true" applyProtection="true">
      <alignment horizontal="left" vertical="bottom" textRotation="0" wrapText="false" indent="0" shrinkToFit="false"/>
      <protection locked="false" hidden="false"/>
    </xf>
    <xf numFmtId="164" fontId="7" fillId="2" borderId="0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5" fontId="4" fillId="2" borderId="0" xfId="0" applyFont="true" applyBorder="false" applyAlignment="false" applyProtection="true">
      <alignment horizontal="general" vertical="bottom" textRotation="0" wrapText="false" indent="0" shrinkToFit="false"/>
      <protection locked="false" hidden="false"/>
    </xf>
    <xf numFmtId="164" fontId="6" fillId="3" borderId="1" xfId="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64" fontId="8" fillId="4" borderId="2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9" fillId="5" borderId="2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9" fillId="6" borderId="2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7" fillId="7" borderId="2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6" fillId="0" borderId="0" xfId="0" applyFont="true" applyBorder="false" applyAlignment="false" applyProtection="true">
      <alignment horizontal="general" vertical="bottom" textRotation="0" wrapText="false" indent="0" shrinkToFit="false"/>
      <protection locked="false" hidden="false"/>
    </xf>
    <xf numFmtId="164" fontId="10" fillId="0" borderId="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11" fillId="8" borderId="2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12" fillId="9" borderId="2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13" fillId="10" borderId="2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10" fillId="11" borderId="2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10" fillId="0" borderId="0" xfId="0" applyFont="true" applyBorder="false" applyAlignment="false" applyProtection="true">
      <alignment horizontal="general" vertical="bottom" textRotation="0" wrapText="false" indent="0" shrinkToFit="false"/>
      <protection locked="false" hidden="false"/>
    </xf>
    <xf numFmtId="164" fontId="14" fillId="0" borderId="3" xfId="0" applyFont="true" applyBorder="true" applyAlignment="false" applyProtection="true">
      <alignment horizontal="general" vertical="bottom" textRotation="0" wrapText="false" indent="0" shrinkToFit="false"/>
      <protection locked="false" hidden="false"/>
    </xf>
    <xf numFmtId="165" fontId="10" fillId="0" borderId="3" xfId="0" applyFont="tru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14" fillId="0" borderId="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0" fillId="0" borderId="4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4" fillId="0" borderId="3" xfId="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64" fontId="10" fillId="0" borderId="3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10" fillId="12" borderId="3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11" fillId="0" borderId="3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10" fillId="0" borderId="1" xfId="0" applyFont="true" applyBorder="true" applyAlignment="true" applyProtection="true">
      <alignment horizontal="left" vertical="center" textRotation="0" wrapText="false" indent="0" shrinkToFit="false"/>
      <protection locked="false" hidden="false"/>
    </xf>
    <xf numFmtId="164" fontId="15" fillId="12" borderId="5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16" fillId="13" borderId="6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5" fontId="17" fillId="6" borderId="1" xfId="0" applyFont="true" applyBorder="true" applyAlignment="false" applyProtection="true">
      <alignment horizontal="general" vertical="bottom" textRotation="0" wrapText="false" indent="0" shrinkToFit="false"/>
      <protection locked="false" hidden="false"/>
    </xf>
    <xf numFmtId="165" fontId="17" fillId="6" borderId="7" xfId="0" applyFont="tru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17" fillId="6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4" fontId="17" fillId="6" borderId="7" xfId="0" applyFont="tru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17" fillId="6" borderId="7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17" fillId="6" borderId="8" xfId="0" applyFont="tru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18" fillId="6" borderId="7" xfId="0" applyFont="tru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17" fillId="6" borderId="7" xfId="0" applyFont="true" applyBorder="true" applyAlignment="true" applyProtection="true">
      <alignment horizontal="left" vertical="bottom" textRotation="0" wrapText="false" indent="0" shrinkToFit="false"/>
      <protection locked="false" hidden="false"/>
    </xf>
    <xf numFmtId="164" fontId="17" fillId="6" borderId="0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5" fontId="19" fillId="0" borderId="3" xfId="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65" fontId="20" fillId="0" borderId="3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5" fontId="4" fillId="0" borderId="3" xfId="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64" fontId="4" fillId="0" borderId="3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20" fillId="0" borderId="3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6" fontId="21" fillId="0" borderId="3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6" fontId="21" fillId="12" borderId="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1" fillId="0" borderId="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21" fillId="12" borderId="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21" fillId="0" borderId="3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6" fontId="21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1" fillId="0" borderId="3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6" fontId="21" fillId="0" borderId="3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6" fontId="21" fillId="0" borderId="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21" fillId="0" borderId="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21" fillId="0" borderId="5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19" fillId="12" borderId="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2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9" xfId="0" applyFont="tru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21" fillId="0" borderId="3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6" fontId="21" fillId="0" borderId="10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5" fontId="4" fillId="0" borderId="3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5" fontId="15" fillId="0" borderId="3" xfId="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64" fontId="15" fillId="0" borderId="3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5" fillId="0" borderId="3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6" fontId="22" fillId="0" borderId="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22" fillId="0" borderId="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3" fillId="0" borderId="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5" fillId="0" borderId="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11" xfId="0" applyFont="tru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4" fillId="0" borderId="1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17" fillId="0" borderId="3" xfId="0" applyFont="tru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23" fillId="14" borderId="3" xfId="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64" fontId="19" fillId="2" borderId="3" xfId="0" applyFont="true" applyBorder="true" applyAlignment="false" applyProtection="true">
      <alignment horizontal="general" vertical="bottom" textRotation="0" wrapText="false" indent="0" shrinkToFit="false"/>
      <protection locked="false" hidden="false"/>
    </xf>
    <xf numFmtId="166" fontId="23" fillId="2" borderId="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3" fillId="2" borderId="3" xfId="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64" fontId="23" fillId="2" borderId="3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23" fillId="2" borderId="3" xfId="0" applyFont="true" applyBorder="true" applyAlignment="true" applyProtection="true">
      <alignment horizontal="left" vertical="center" textRotation="0" wrapText="false" indent="0" shrinkToFit="false"/>
      <protection locked="false" hidden="false"/>
    </xf>
    <xf numFmtId="164" fontId="23" fillId="2" borderId="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9" fillId="2" borderId="3" xfId="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64" fontId="19" fillId="2" borderId="3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19" fillId="2" borderId="3" xfId="0" applyFont="true" applyBorder="true" applyAlignment="true" applyProtection="true">
      <alignment horizontal="left" vertical="center" textRotation="0" wrapText="false" indent="0" shrinkToFit="false"/>
      <protection locked="false" hidden="false"/>
    </xf>
    <xf numFmtId="164" fontId="4" fillId="0" borderId="0" xfId="0" applyFont="tru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21" fillId="0" borderId="0" xfId="0" applyFont="true" applyBorder="false" applyAlignment="false" applyProtection="true">
      <alignment horizontal="general" vertical="bottom" textRotation="0" wrapText="false" indent="0" shrinkToFit="false"/>
      <protection locked="false" hidden="false"/>
    </xf>
    <xf numFmtId="164" fontId="21" fillId="0" borderId="0" xfId="0" applyFont="true" applyBorder="false" applyAlignment="true" applyProtection="true">
      <alignment horizontal="center" vertical="center" textRotation="0" wrapText="false" indent="0" shrinkToFit="false"/>
      <protection locked="false" hidden="false"/>
    </xf>
    <xf numFmtId="164" fontId="21" fillId="0" borderId="0" xfId="0" applyFont="true" applyBorder="false" applyAlignment="true" applyProtection="true">
      <alignment horizontal="left" vertical="bottom" textRotation="0" wrapText="false" indent="0" shrinkToFit="false"/>
      <protection locked="false" hidden="false"/>
    </xf>
    <xf numFmtId="164" fontId="24" fillId="0" borderId="12" xfId="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4" fontId="24" fillId="0" borderId="13" xfId="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4" fontId="24" fillId="0" borderId="14" xfId="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4" fontId="24" fillId="0" borderId="15" xfId="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4" fontId="25" fillId="0" borderId="14" xfId="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4" fontId="25" fillId="0" borderId="15" xfId="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4" fontId="0" fillId="0" borderId="0" xfId="0" applyFont="false" applyBorder="false" applyAlignment="false" applyProtection="true">
      <alignment horizontal="general" vertical="bottom" textRotation="0" wrapText="false" indent="0" shrinkToFit="false"/>
      <protection locked="false" hidden="false"/>
    </xf>
    <xf numFmtId="164" fontId="26" fillId="0" borderId="0" xfId="0" applyFont="true" applyBorder="true" applyAlignment="true" applyProtection="true">
      <alignment horizontal="right" vertical="center" textRotation="0" wrapText="true" indent="0" shrinkToFit="false"/>
      <protection locked="false" hidden="false"/>
    </xf>
    <xf numFmtId="164" fontId="28" fillId="0" borderId="0" xfId="0" applyFont="true" applyBorder="false" applyAlignment="true" applyProtection="true">
      <alignment horizontal="general" vertical="center" textRotation="0" wrapText="true" indent="0" shrinkToFit="false"/>
      <protection locked="false" hidden="false"/>
    </xf>
    <xf numFmtId="164" fontId="29" fillId="14" borderId="2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28" fillId="0" borderId="0" xfId="0" applyFont="true" applyBorder="false" applyAlignment="true" applyProtection="true">
      <alignment horizontal="center" vertical="center" textRotation="0" wrapText="true" indent="0" shrinkToFit="false"/>
      <protection locked="false" hidden="false"/>
    </xf>
    <xf numFmtId="164" fontId="0" fillId="0" borderId="0" xfId="0" applyFont="false" applyBorder="false" applyAlignment="true" applyProtection="true">
      <alignment horizontal="general" vertical="center" textRotation="0" wrapText="false" indent="0" shrinkToFit="false"/>
      <protection locked="false" hidden="false"/>
    </xf>
    <xf numFmtId="164" fontId="30" fillId="0" borderId="0" xfId="0" applyFont="true" applyBorder="false" applyAlignment="true" applyProtection="true">
      <alignment horizontal="general" vertical="center" textRotation="0" wrapText="true" indent="0" shrinkToFit="false"/>
      <protection locked="false" hidden="false"/>
    </xf>
    <xf numFmtId="164" fontId="31" fillId="0" borderId="0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31" fillId="0" borderId="0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30" fillId="0" borderId="0" xfId="0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65" fontId="31" fillId="0" borderId="0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5" fontId="31" fillId="0" borderId="0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31" fillId="0" borderId="0" xfId="0" applyFont="true" applyBorder="true" applyAlignment="true" applyProtection="true">
      <alignment horizontal="left" vertical="center" textRotation="0" wrapText="false" indent="0" shrinkToFit="false"/>
      <protection locked="false" hidden="false"/>
    </xf>
    <xf numFmtId="164" fontId="32" fillId="6" borderId="0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32" fillId="6" borderId="16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4" fillId="0" borderId="2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33" fillId="6" borderId="17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32" fillId="6" borderId="18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0" fillId="0" borderId="19" xfId="0" applyFont="fals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34" fillId="6" borderId="20" xfId="0" applyFont="true" applyBorder="true" applyAlignment="true" applyProtection="true">
      <alignment horizontal="center" vertical="center" textRotation="180" wrapText="false" indent="0" shrinkToFit="false"/>
      <protection locked="false" hidden="false"/>
    </xf>
    <xf numFmtId="164" fontId="19" fillId="15" borderId="2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19" fillId="15" borderId="2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19" fillId="15" borderId="2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19" fillId="15" borderId="18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35" fillId="6" borderId="22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35" fillId="6" borderId="23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10" fillId="0" borderId="24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19" fillId="0" borderId="2" xfId="0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64" fontId="19" fillId="0" borderId="2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3" fillId="0" borderId="2" xfId="0" applyFont="true" applyBorder="true" applyAlignment="true" applyProtection="true">
      <alignment horizontal="center" vertical="center" textRotation="0" wrapText="false" indent="0" shrinkToFit="true"/>
      <protection locked="false" hidden="false"/>
    </xf>
    <xf numFmtId="166" fontId="36" fillId="0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31" fillId="0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3" fillId="0" borderId="2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31" fillId="0" borderId="1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9" fillId="0" borderId="2" xfId="0" applyFont="tru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23" fillId="0" borderId="2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10" fillId="0" borderId="16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19" fillId="0" borderId="16" xfId="0" applyFont="tru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19" fillId="0" borderId="16" xfId="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64" fontId="19" fillId="0" borderId="2" xfId="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64" fontId="23" fillId="0" borderId="25" xfId="0" applyFont="true" applyBorder="true" applyAlignment="true" applyProtection="true">
      <alignment horizontal="center" vertical="center" textRotation="0" wrapText="false" indent="0" shrinkToFit="true"/>
      <protection locked="false" hidden="false"/>
    </xf>
    <xf numFmtId="166" fontId="36" fillId="0" borderId="2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0" fillId="0" borderId="18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19" fillId="0" borderId="21" xfId="0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64" fontId="19" fillId="0" borderId="26" xfId="0" applyFont="tru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23" fillId="0" borderId="21" xfId="0" applyFont="true" applyBorder="true" applyAlignment="true" applyProtection="true">
      <alignment horizontal="center" vertical="center" textRotation="0" wrapText="false" indent="0" shrinkToFit="true"/>
      <protection locked="false" hidden="false"/>
    </xf>
    <xf numFmtId="164" fontId="23" fillId="0" borderId="27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34" fillId="6" borderId="21" xfId="0" applyFont="true" applyBorder="true" applyAlignment="true" applyProtection="true">
      <alignment horizontal="right" vertical="center" textRotation="0" wrapText="false" indent="0" shrinkToFit="false"/>
      <protection locked="false" hidden="false"/>
    </xf>
    <xf numFmtId="164" fontId="23" fillId="0" borderId="2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23" fillId="6" borderId="2" xfId="0" applyFont="true" applyBorder="true" applyAlignment="true" applyProtection="true">
      <alignment horizontal="left" vertical="bottom" textRotation="0" wrapText="false" indent="0" shrinkToFit="false"/>
      <protection locked="false" hidden="false"/>
    </xf>
    <xf numFmtId="164" fontId="31" fillId="2" borderId="1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5" fillId="6" borderId="28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0" fillId="0" borderId="0" xfId="0" applyFont="false" applyBorder="false" applyAlignment="true" applyProtection="true">
      <alignment horizontal="left" vertical="bottom" textRotation="0" wrapText="false" indent="0" shrinkToFit="false"/>
      <protection locked="false" hidden="false"/>
    </xf>
    <xf numFmtId="164" fontId="0" fillId="0" borderId="29" xfId="0" applyFont="fals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4" fillId="2" borderId="0" xfId="0" applyFont="true" applyBorder="true" applyAlignment="true" applyProtection="true">
      <alignment horizontal="left" vertical="bottom" textRotation="0" wrapText="false" indent="0" shrinkToFit="false"/>
      <protection locked="false" hidden="false"/>
    </xf>
    <xf numFmtId="164" fontId="37" fillId="2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0" fillId="2" borderId="0" xfId="0" applyFont="false" applyBorder="false" applyAlignment="true" applyProtection="true">
      <alignment horizontal="general" vertical="center" textRotation="0" wrapText="false" indent="0" shrinkToFit="true"/>
      <protection locked="false" hidden="false"/>
    </xf>
    <xf numFmtId="164" fontId="0" fillId="2" borderId="0" xfId="0" applyFont="false" applyBorder="false" applyAlignment="false" applyProtection="true">
      <alignment horizontal="general" vertical="bottom" textRotation="0" wrapText="false" indent="0" shrinkToFit="false"/>
      <protection locked="false" hidden="false"/>
    </xf>
    <xf numFmtId="164" fontId="38" fillId="2" borderId="0" xfId="0" applyFont="true" applyBorder="false" applyAlignment="true" applyProtection="true">
      <alignment horizontal="left" vertical="center" textRotation="0" wrapText="false" indent="0" shrinkToFit="false"/>
      <protection locked="false" hidden="false"/>
    </xf>
    <xf numFmtId="164" fontId="38" fillId="0" borderId="0" xfId="0" applyFont="true" applyBorder="false" applyAlignment="true" applyProtection="true">
      <alignment horizontal="general" vertical="center" textRotation="0" wrapText="false" indent="0" shrinkToFit="false"/>
      <protection locked="false" hidden="false"/>
    </xf>
    <xf numFmtId="164" fontId="39" fillId="0" borderId="0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40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0" xfId="0" applyFont="false" applyBorder="false" applyAlignment="true" applyProtection="true">
      <alignment horizontal="left" vertical="bottom" textRotation="0" wrapText="false" indent="0" shrinkToFit="false"/>
      <protection locked="false" hidden="false"/>
    </xf>
    <xf numFmtId="164" fontId="41" fillId="0" borderId="0" xfId="0" applyFont="true" applyBorder="false" applyAlignment="true" applyProtection="true">
      <alignment horizontal="general" vertical="center" textRotation="0" wrapText="false" indent="0" shrinkToFit="false"/>
      <protection locked="false" hidden="false"/>
    </xf>
    <xf numFmtId="164" fontId="15" fillId="2" borderId="0" xfId="0" applyFont="true" applyBorder="false" applyAlignment="true" applyProtection="true">
      <alignment horizontal="left" vertical="bottom" textRotation="0" wrapText="false" indent="0" shrinkToFit="false"/>
      <protection locked="false" hidden="false"/>
    </xf>
    <xf numFmtId="164" fontId="4" fillId="2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4" fontId="39" fillId="0" borderId="0" xfId="0" applyFont="true" applyBorder="true" applyAlignment="true" applyProtection="true">
      <alignment horizontal="right" vertical="bottom" textRotation="0" wrapText="false" indent="0" shrinkToFit="false"/>
      <protection locked="false" hidden="false"/>
    </xf>
    <xf numFmtId="164" fontId="39" fillId="0" borderId="0" xfId="0" applyFont="true" applyBorder="false" applyAlignment="false" applyProtection="true">
      <alignment horizontal="general" vertical="bottom" textRotation="0" wrapText="false" indent="0" shrinkToFit="false"/>
      <protection locked="false" hidden="false"/>
    </xf>
    <xf numFmtId="164" fontId="42" fillId="0" borderId="0" xfId="0" applyFont="true" applyBorder="true" applyAlignment="true" applyProtection="true">
      <alignment horizontal="center" vertical="bottom" textRotation="0" wrapText="true" indent="0" shrinkToFit="false"/>
      <protection locked="false" hidden="false"/>
    </xf>
    <xf numFmtId="165" fontId="31" fillId="0" borderId="0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31" fillId="0" borderId="0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31" fillId="0" borderId="0" xfId="0" applyFont="true" applyBorder="true" applyAlignment="true" applyProtection="true">
      <alignment horizontal="left" vertical="bottom" textRotation="0" wrapText="false" indent="0" shrinkToFit="false"/>
      <protection locked="false" hidden="false"/>
    </xf>
    <xf numFmtId="164" fontId="4" fillId="0" borderId="30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33" fillId="6" borderId="3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32" fillId="6" borderId="24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19" fillId="0" borderId="32" xfId="0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64" fontId="19" fillId="0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9" fillId="0" borderId="33" xfId="0" applyFont="tru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23" fillId="0" borderId="32" xfId="0" applyFont="true" applyBorder="true" applyAlignment="true" applyProtection="true">
      <alignment horizontal="center" vertical="center" textRotation="0" wrapText="false" indent="0" shrinkToFit="true"/>
      <protection locked="false" hidden="false"/>
    </xf>
    <xf numFmtId="166" fontId="36" fillId="0" borderId="3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9" fillId="0" borderId="34" xfId="0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64" fontId="19" fillId="0" borderId="26" xfId="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64" fontId="19" fillId="0" borderId="32" xfId="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64" fontId="31" fillId="6" borderId="2" xfId="0" applyFont="true" applyBorder="true" applyAlignment="true" applyProtection="true">
      <alignment horizontal="left" vertical="bottom" textRotation="0" wrapText="false" indent="0" shrinkToFit="false"/>
      <protection locked="false" hidden="false"/>
    </xf>
    <xf numFmtId="164" fontId="31" fillId="16" borderId="1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5" fillId="6" borderId="16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43" fillId="2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39" fillId="0" borderId="0" xfId="0" applyFont="true" applyBorder="false" applyAlignment="true" applyProtection="true">
      <alignment horizontal="general" vertical="center" textRotation="0" wrapText="false" indent="0" shrinkToFit="false"/>
      <protection locked="false" hidden="false"/>
    </xf>
    <xf numFmtId="164" fontId="19" fillId="0" borderId="0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26" fillId="0" borderId="35" xfId="0" applyFont="true" applyBorder="true" applyAlignment="true" applyProtection="true">
      <alignment horizontal="right" vertical="center" textRotation="0" wrapText="true" indent="0" shrinkToFit="false"/>
      <protection locked="false" hidden="false"/>
    </xf>
    <xf numFmtId="164" fontId="31" fillId="0" borderId="20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44" fillId="0" borderId="0" xfId="0" applyFont="true" applyBorder="false" applyAlignment="false" applyProtection="true">
      <alignment horizontal="general" vertical="bottom" textRotation="0" wrapText="false" indent="0" shrinkToFit="false"/>
      <protection locked="false" hidden="false"/>
    </xf>
    <xf numFmtId="164" fontId="19" fillId="0" borderId="27" xfId="0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64" fontId="19" fillId="0" borderId="3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9" fillId="0" borderId="27" xfId="0" applyFont="tru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23" fillId="0" borderId="27" xfId="0" applyFont="true" applyBorder="true" applyAlignment="true" applyProtection="true">
      <alignment horizontal="center" vertical="center" textRotation="0" wrapText="false" indent="0" shrinkToFit="true"/>
      <protection locked="false" hidden="false"/>
    </xf>
    <xf numFmtId="166" fontId="36" fillId="0" borderId="2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39" fillId="0" borderId="0" xfId="0" applyFont="true" applyBorder="true" applyAlignment="true" applyProtection="true">
      <alignment horizontal="right" vertical="center" textRotation="0" wrapText="false" indent="0" shrinkToFit="false"/>
      <protection locked="false" hidden="false"/>
    </xf>
    <xf numFmtId="164" fontId="4" fillId="0" borderId="0" xfId="0" applyFont="true" applyBorder="false" applyAlignment="true" applyProtection="true">
      <alignment horizontal="general" vertical="center" textRotation="0" wrapText="true" indent="0" shrinkToFit="false"/>
      <protection locked="false" hidden="false"/>
    </xf>
    <xf numFmtId="164" fontId="19" fillId="0" borderId="18" xfId="0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67" fontId="31" fillId="0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" fillId="2" borderId="0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21" fillId="0" borderId="0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33" fillId="6" borderId="37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32" fillId="6" borderId="23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35" fillId="6" borderId="38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31" fillId="0" borderId="2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0" fillId="0" borderId="30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21" fillId="0" borderId="0" xfId="0" applyFont="true" applyBorder="true" applyAlignment="true" applyProtection="true">
      <alignment horizontal="center" vertical="bottom" textRotation="0" wrapText="true" indent="0" shrinkToFit="false"/>
      <protection locked="false" hidden="false"/>
    </xf>
    <xf numFmtId="164" fontId="19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9" fillId="0" borderId="39" xfId="0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64" fontId="19" fillId="0" borderId="21" xfId="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64" fontId="39" fillId="0" borderId="0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28" fillId="14" borderId="0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5" fontId="23" fillId="0" borderId="0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23" fillId="0" borderId="0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15" fillId="0" borderId="0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0" xfId="0" applyFont="false" applyBorder="true" applyAlignment="true" applyProtection="true">
      <alignment horizontal="center" vertical="bottom" textRotation="0" wrapText="false" indent="0" shrinkToFit="false"/>
      <protection locked="false" hidden="false"/>
    </xf>
    <xf numFmtId="165" fontId="23" fillId="0" borderId="0" xfId="0" applyFont="true" applyBorder="true" applyAlignment="true" applyProtection="true">
      <alignment horizontal="left" vertical="bottom" textRotation="0" wrapText="false" indent="0" shrinkToFit="false"/>
      <protection locked="false" hidden="false"/>
    </xf>
    <xf numFmtId="164" fontId="4" fillId="0" borderId="40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4" fillId="0" borderId="2" xfId="0" applyFont="tru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34" fillId="6" borderId="0" xfId="0" applyFont="true" applyBorder="true" applyAlignment="true" applyProtection="true">
      <alignment horizontal="center" vertical="center" textRotation="180" wrapText="false" indent="0" shrinkToFit="false"/>
      <protection locked="false" hidden="false"/>
    </xf>
    <xf numFmtId="164" fontId="22" fillId="0" borderId="24" xfId="0" applyFont="true" applyBorder="true" applyAlignment="true" applyProtection="true">
      <alignment horizontal="left" vertical="bottom" textRotation="180" wrapText="false" indent="0" shrinkToFit="false"/>
      <protection locked="false" hidden="false"/>
    </xf>
    <xf numFmtId="164" fontId="23" fillId="0" borderId="9" xfId="0" applyFont="true" applyBorder="true" applyAlignment="true" applyProtection="true">
      <alignment horizontal="general" vertical="center" textRotation="0" wrapText="true" indent="0" shrinkToFit="false"/>
      <protection locked="false" hidden="false"/>
    </xf>
    <xf numFmtId="164" fontId="23" fillId="0" borderId="16" xfId="0" applyFont="true" applyBorder="true" applyAlignment="false" applyProtection="true">
      <alignment horizontal="general" vertical="bottom" textRotation="0" wrapText="false" indent="0" shrinkToFit="false"/>
      <protection locked="false" hidden="false"/>
    </xf>
    <xf numFmtId="166" fontId="15" fillId="0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3" fillId="0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3" fillId="0" borderId="4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2" fillId="0" borderId="24" xfId="0" applyFont="true" applyBorder="true" applyAlignment="true" applyProtection="true">
      <alignment horizontal="left" vertical="center" textRotation="180" wrapText="false" indent="0" shrinkToFit="false"/>
      <protection locked="false" hidden="false"/>
    </xf>
    <xf numFmtId="164" fontId="34" fillId="6" borderId="2" xfId="0" applyFont="true" applyBorder="true" applyAlignment="true" applyProtection="true">
      <alignment horizontal="right" vertical="center" textRotation="0" wrapText="false" indent="0" shrinkToFit="false"/>
      <protection locked="false" hidden="false"/>
    </xf>
    <xf numFmtId="164" fontId="23" fillId="2" borderId="1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0" fillId="2" borderId="0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15" fillId="2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15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1" fillId="0" borderId="0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38" fillId="2" borderId="0" xfId="0" applyFont="true" applyBorder="false" applyAlignment="true" applyProtection="true">
      <alignment horizontal="left" vertical="bottom" textRotation="0" wrapText="false" indent="0" shrinkToFit="false"/>
      <protection locked="false" hidden="false"/>
    </xf>
    <xf numFmtId="164" fontId="45" fillId="0" borderId="0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15" fillId="0" borderId="0" xfId="0" applyFont="true" applyBorder="false" applyAlignment="false" applyProtection="true">
      <alignment horizontal="general" vertical="bottom" textRotation="0" wrapText="false" indent="0" shrinkToFit="false"/>
      <protection locked="false" hidden="false"/>
    </xf>
    <xf numFmtId="164" fontId="46" fillId="0" borderId="0" xfId="0" applyFont="true" applyBorder="true" applyAlignment="true" applyProtection="true">
      <alignment horizontal="center" vertical="bottom" textRotation="0" wrapText="true" indent="0" shrinkToFit="false"/>
      <protection locked="fals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4">
    <dxf>
      <font>
        <b val="1"/>
        <i val="0"/>
        <color rgb="FFFFFFFF"/>
      </font>
      <fill>
        <patternFill>
          <bgColor rgb="FF00B050"/>
        </patternFill>
      </fill>
    </dxf>
    <dxf>
      <font>
        <b val="1"/>
        <i val="0"/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E7E6E6"/>
      <rgbColor rgb="FF767171"/>
      <rgbColor rgb="FF8FAADC"/>
      <rgbColor rgb="FF7030A0"/>
      <rgbColor rgb="FFFFF2CC"/>
      <rgbColor rgb="FFDAE3F3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B0F0"/>
      <rgbColor rgb="FFF2F2F2"/>
      <rgbColor rgb="FFEAEAEA"/>
      <rgbColor rgb="FFFFE699"/>
      <rgbColor rgb="FF99CCFF"/>
      <rgbColor rgb="FFFF99CC"/>
      <rgbColor rgb="FFCC99FF"/>
      <rgbColor rgb="FFFFD966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2060"/>
      <rgbColor rgb="FF00B050"/>
      <rgbColor rgb="FF003300"/>
      <rgbColor rgb="FF333300"/>
      <rgbColor rgb="FF993300"/>
      <rgbColor rgb="FF993366"/>
      <rgbColor rgb="FF1F3863"/>
      <rgbColor rgb="FF404040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worksheet" Target="worksheets/sheet6.xml"/><Relationship Id="rId10" Type="http://schemas.openxmlformats.org/officeDocument/2006/relationships/worksheet" Target="worksheets/sheet7.xml"/><Relationship Id="rId11" Type="http://schemas.openxmlformats.org/officeDocument/2006/relationships/worksheet" Target="worksheets/sheet8.xml"/><Relationship Id="rId12" Type="http://schemas.openxmlformats.org/officeDocument/2006/relationships/worksheet" Target="worksheets/sheet9.xml"/><Relationship Id="rId13" Type="http://schemas.openxmlformats.org/officeDocument/2006/relationships/worksheet" Target="worksheets/sheet10.xml"/><Relationship Id="rId14" Type="http://schemas.openxmlformats.org/officeDocument/2006/relationships/worksheet" Target="worksheets/sheet11.xml"/><Relationship Id="rId15" Type="http://schemas.openxmlformats.org/officeDocument/2006/relationships/sharedStrings" Target="sharedStrings.xml"/>
</Relationships>
</file>

<file path=xl/drawings/_rels/drawing1.xml.rels><?xml version="1.0" encoding="UTF-8"?>
<Relationships xmlns="http://schemas.openxmlformats.org/package/2006/relationships"><Relationship Id="rId1" Type="http://schemas.openxmlformats.org/officeDocument/2006/relationships/image" Target="../media/image1.wmf"/><Relationship Id="rId2" Type="http://schemas.openxmlformats.org/officeDocument/2006/relationships/image" Target="../media/image2.wmf"/><Relationship Id="rId3" Type="http://schemas.openxmlformats.org/officeDocument/2006/relationships/image" Target="../media/image3.wmf"/><Relationship Id="rId4" Type="http://schemas.openxmlformats.org/officeDocument/2006/relationships/image" Target="../media/image4.wmf"/><Relationship Id="rId5" Type="http://schemas.openxmlformats.org/officeDocument/2006/relationships/image" Target="../media/image5.wmf"/><Relationship Id="rId6" Type="http://schemas.openxmlformats.org/officeDocument/2006/relationships/image" Target="../media/image6.wmf"/><Relationship Id="rId7" Type="http://schemas.openxmlformats.org/officeDocument/2006/relationships/image" Target="../media/image7.wmf"/>
</Relationships>
</file>

<file path=xl/drawings/_rels/drawing2.xml.rels><?xml version="1.0" encoding="UTF-8"?>
<Relationships xmlns="http://schemas.openxmlformats.org/package/2006/relationships"><Relationship Id="rId1" Type="http://schemas.openxmlformats.org/officeDocument/2006/relationships/image" Target="../media/image8.jpeg"/>
</Relationships>
</file>

<file path=xl/drawings/_rels/drawing3.xml.rels><?xml version="1.0" encoding="UTF-8"?>
<Relationships xmlns="http://schemas.openxmlformats.org/package/2006/relationships"><Relationship Id="rId1" Type="http://schemas.openxmlformats.org/officeDocument/2006/relationships/image" Target="../media/image8.jpeg"/>
</Relationships>
</file>

<file path=xl/drawings/_rels/drawing4.xml.rels><?xml version="1.0" encoding="UTF-8"?>
<Relationships xmlns="http://schemas.openxmlformats.org/package/2006/relationships"><Relationship Id="rId1" Type="http://schemas.openxmlformats.org/officeDocument/2006/relationships/image" Target="../media/image8.jpeg"/>
</Relationships>
</file>

<file path=xl/drawings/_rels/drawing5.xml.rels><?xml version="1.0" encoding="UTF-8"?>
<Relationships xmlns="http://schemas.openxmlformats.org/package/2006/relationships"><Relationship Id="rId1" Type="http://schemas.openxmlformats.org/officeDocument/2006/relationships/image" Target="../media/image8.jpeg"/>
</Relationships>
</file>

<file path=xl/drawings/_rels/drawing6.xml.rels><?xml version="1.0" encoding="UTF-8"?>
<Relationships xmlns="http://schemas.openxmlformats.org/package/2006/relationships"><Relationship Id="rId1" Type="http://schemas.openxmlformats.org/officeDocument/2006/relationships/image" Target="../media/image8.jpeg"/>
</Relationships>
</file>

<file path=xl/drawings/_rels/drawing7.xml.rels><?xml version="1.0" encoding="UTF-8"?>
<Relationships xmlns="http://schemas.openxmlformats.org/package/2006/relationships"><Relationship Id="rId1" Type="http://schemas.openxmlformats.org/officeDocument/2006/relationships/image" Target="../media/image8.jpeg"/>
</Relationships>
</file>

<file path=xl/drawings/_rels/drawing8.xml.rels><?xml version="1.0" encoding="UTF-8"?>
<Relationships xmlns="http://schemas.openxmlformats.org/package/2006/relationships"><Relationship Id="rId1" Type="http://schemas.openxmlformats.org/officeDocument/2006/relationships/image" Target="../media/image8.jpeg"/>
</Relationships>
</file>

<file path=xl/drawings/_rels/drawing9.xml.rels><?xml version="1.0" encoding="UTF-8"?>
<Relationships xmlns="http://schemas.openxmlformats.org/package/2006/relationships"><Relationship Id="rId1" Type="http://schemas.openxmlformats.org/officeDocument/2006/relationships/image" Target="../media/image8.jpeg"/><Relationship Id="rId2" Type="http://schemas.openxmlformats.org/officeDocument/2006/relationships/image" Target="../media/image9.png"/>
</Relationships>
</file>

<file path=xl/drawings/_rels/drawing10.xml.rels><?xml version="1.0" encoding="UTF-8"?>
<Relationships xmlns="http://schemas.openxmlformats.org/package/2006/relationships"><Relationship Id="rId1" Type="http://schemas.openxmlformats.org/officeDocument/2006/relationships/image" Target="../media/image10.png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absolute">
    <xdr:from>
      <xdr:col>47</xdr:col>
      <xdr:colOff>9360</xdr:colOff>
      <xdr:row>7</xdr:row>
      <xdr:rowOff>191880</xdr:rowOff>
    </xdr:from>
    <xdr:to>
      <xdr:col>48</xdr:col>
      <xdr:colOff>924480</xdr:colOff>
      <xdr:row>9</xdr:row>
      <xdr:rowOff>52560</xdr:rowOff>
    </xdr:to>
    <xdr:sp>
      <xdr:nvSpPr>
        <xdr:cNvPr id="1" name="CommandButton1" hidden="1"/>
        <xdr:cNvSpPr/>
      </xdr:nvSpPr>
      <xdr:spPr>
        <a:xfrm>
          <a:off x="31568760" y="1800360"/>
          <a:ext cx="2684160" cy="353880"/>
        </a:xfrm>
        <a:prstGeom prst="rect">
          <a:avLst/>
        </a:prstGeom>
        <a:noFill/>
        <a:ln w="0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absolute">
    <xdr:from>
      <xdr:col>47</xdr:col>
      <xdr:colOff>9360</xdr:colOff>
      <xdr:row>8</xdr:row>
      <xdr:rowOff>146160</xdr:rowOff>
    </xdr:from>
    <xdr:to>
      <xdr:col>49</xdr:col>
      <xdr:colOff>104400</xdr:colOff>
      <xdr:row>10</xdr:row>
      <xdr:rowOff>35640</xdr:rowOff>
    </xdr:to>
    <xdr:sp>
      <xdr:nvSpPr>
        <xdr:cNvPr id="2" name="CommandButton2" hidden="1"/>
        <xdr:cNvSpPr/>
      </xdr:nvSpPr>
      <xdr:spPr>
        <a:xfrm>
          <a:off x="31568760" y="2019240"/>
          <a:ext cx="2788920" cy="308880"/>
        </a:xfrm>
        <a:prstGeom prst="rect">
          <a:avLst/>
        </a:prstGeom>
        <a:noFill/>
        <a:ln w="0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absolute">
    <xdr:from>
      <xdr:col>47</xdr:col>
      <xdr:colOff>9360</xdr:colOff>
      <xdr:row>9</xdr:row>
      <xdr:rowOff>88920</xdr:rowOff>
    </xdr:from>
    <xdr:to>
      <xdr:col>49</xdr:col>
      <xdr:colOff>9000</xdr:colOff>
      <xdr:row>10</xdr:row>
      <xdr:rowOff>184320</xdr:rowOff>
    </xdr:to>
    <xdr:sp>
      <xdr:nvSpPr>
        <xdr:cNvPr id="3" name="CommandButton3" hidden="1"/>
        <xdr:cNvSpPr/>
      </xdr:nvSpPr>
      <xdr:spPr>
        <a:xfrm>
          <a:off x="31568760" y="2190600"/>
          <a:ext cx="2693520" cy="286200"/>
        </a:xfrm>
        <a:prstGeom prst="rect">
          <a:avLst/>
        </a:prstGeom>
        <a:noFill/>
        <a:ln w="0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absolute">
    <xdr:from>
      <xdr:col>47</xdr:col>
      <xdr:colOff>9360</xdr:colOff>
      <xdr:row>10</xdr:row>
      <xdr:rowOff>183960</xdr:rowOff>
    </xdr:from>
    <xdr:to>
      <xdr:col>49</xdr:col>
      <xdr:colOff>9000</xdr:colOff>
      <xdr:row>12</xdr:row>
      <xdr:rowOff>4680</xdr:rowOff>
    </xdr:to>
    <xdr:sp>
      <xdr:nvSpPr>
        <xdr:cNvPr id="4" name="CommandButton5" hidden="1"/>
        <xdr:cNvSpPr/>
      </xdr:nvSpPr>
      <xdr:spPr>
        <a:xfrm>
          <a:off x="31568760" y="2476440"/>
          <a:ext cx="2693520" cy="201600"/>
        </a:xfrm>
        <a:prstGeom prst="rect">
          <a:avLst/>
        </a:prstGeom>
        <a:noFill/>
        <a:ln w="0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absolute">
    <xdr:from>
      <xdr:col>47</xdr:col>
      <xdr:colOff>9360</xdr:colOff>
      <xdr:row>11</xdr:row>
      <xdr:rowOff>155520</xdr:rowOff>
    </xdr:from>
    <xdr:to>
      <xdr:col>49</xdr:col>
      <xdr:colOff>113760</xdr:colOff>
      <xdr:row>13</xdr:row>
      <xdr:rowOff>48240</xdr:rowOff>
    </xdr:to>
    <xdr:sp>
      <xdr:nvSpPr>
        <xdr:cNvPr id="5" name="CommandButton6" hidden="1"/>
        <xdr:cNvSpPr/>
      </xdr:nvSpPr>
      <xdr:spPr>
        <a:xfrm>
          <a:off x="31568760" y="2638440"/>
          <a:ext cx="2798280" cy="273600"/>
        </a:xfrm>
        <a:prstGeom prst="rect">
          <a:avLst/>
        </a:prstGeom>
        <a:noFill/>
        <a:ln w="0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absolute">
    <xdr:from>
      <xdr:col>47</xdr:col>
      <xdr:colOff>9360</xdr:colOff>
      <xdr:row>12</xdr:row>
      <xdr:rowOff>108000</xdr:rowOff>
    </xdr:from>
    <xdr:to>
      <xdr:col>49</xdr:col>
      <xdr:colOff>104400</xdr:colOff>
      <xdr:row>14</xdr:row>
      <xdr:rowOff>7200</xdr:rowOff>
    </xdr:to>
    <xdr:sp>
      <xdr:nvSpPr>
        <xdr:cNvPr id="6" name="CommandButton7" hidden="1"/>
        <xdr:cNvSpPr/>
      </xdr:nvSpPr>
      <xdr:spPr>
        <a:xfrm>
          <a:off x="31568760" y="2781360"/>
          <a:ext cx="2788920" cy="280080"/>
        </a:xfrm>
        <a:prstGeom prst="rect">
          <a:avLst/>
        </a:prstGeom>
        <a:noFill/>
        <a:ln w="0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absolute">
    <xdr:from>
      <xdr:col>47</xdr:col>
      <xdr:colOff>9360</xdr:colOff>
      <xdr:row>13</xdr:row>
      <xdr:rowOff>174600</xdr:rowOff>
    </xdr:from>
    <xdr:to>
      <xdr:col>49</xdr:col>
      <xdr:colOff>104400</xdr:colOff>
      <xdr:row>18</xdr:row>
      <xdr:rowOff>7200</xdr:rowOff>
    </xdr:to>
    <xdr:sp>
      <xdr:nvSpPr>
        <xdr:cNvPr id="7" name="CommandButton8" hidden="1"/>
        <xdr:cNvSpPr/>
      </xdr:nvSpPr>
      <xdr:spPr>
        <a:xfrm>
          <a:off x="31568760" y="3038400"/>
          <a:ext cx="2788920" cy="213480"/>
        </a:xfrm>
        <a:prstGeom prst="rect">
          <a:avLst/>
        </a:prstGeom>
        <a:noFill/>
        <a:ln w="0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47</xdr:col>
      <xdr:colOff>9360</xdr:colOff>
      <xdr:row>7</xdr:row>
      <xdr:rowOff>191880</xdr:rowOff>
    </xdr:from>
    <xdr:to>
      <xdr:col>48</xdr:col>
      <xdr:colOff>924480</xdr:colOff>
      <xdr:row>9</xdr:row>
      <xdr:rowOff>52560</xdr:rowOff>
    </xdr:to>
    <xdr:pic>
      <xdr:nvPicPr>
        <xdr:cNvPr id="8" name="CommandButton1"/>
        <xdr:cNvPicPr/>
      </xdr:nvPicPr>
      <xdr:blipFill>
        <a:blip r:embed="rId1"/>
        <a:stretch/>
      </xdr:blipFill>
      <xdr:spPr>
        <a:xfrm>
          <a:off x="31568760" y="1800360"/>
          <a:ext cx="2684160" cy="353880"/>
        </a:xfrm>
        <a:prstGeom prst="rect">
          <a:avLst/>
        </a:prstGeom>
        <a:noFill/>
        <a:ln w="0">
          <a:noFill/>
        </a:ln>
      </xdr:spPr>
    </xdr:pic>
    <xdr:clientData/>
  </xdr:twoCellAnchor>
  <xdr:twoCellAnchor editAs="oneCell">
    <xdr:from>
      <xdr:col>47</xdr:col>
      <xdr:colOff>9360</xdr:colOff>
      <xdr:row>8</xdr:row>
      <xdr:rowOff>146160</xdr:rowOff>
    </xdr:from>
    <xdr:to>
      <xdr:col>48</xdr:col>
      <xdr:colOff>789840</xdr:colOff>
      <xdr:row>10</xdr:row>
      <xdr:rowOff>35640</xdr:rowOff>
    </xdr:to>
    <xdr:pic>
      <xdr:nvPicPr>
        <xdr:cNvPr id="9" name="CommandButton2"/>
        <xdr:cNvPicPr/>
      </xdr:nvPicPr>
      <xdr:blipFill>
        <a:blip r:embed="rId2"/>
        <a:stretch/>
      </xdr:blipFill>
      <xdr:spPr>
        <a:xfrm>
          <a:off x="31568760" y="2019240"/>
          <a:ext cx="2549520" cy="308880"/>
        </a:xfrm>
        <a:prstGeom prst="rect">
          <a:avLst/>
        </a:prstGeom>
        <a:noFill/>
        <a:ln w="0">
          <a:noFill/>
        </a:ln>
      </xdr:spPr>
    </xdr:pic>
    <xdr:clientData/>
  </xdr:twoCellAnchor>
  <xdr:twoCellAnchor editAs="oneCell">
    <xdr:from>
      <xdr:col>47</xdr:col>
      <xdr:colOff>9360</xdr:colOff>
      <xdr:row>9</xdr:row>
      <xdr:rowOff>88920</xdr:rowOff>
    </xdr:from>
    <xdr:to>
      <xdr:col>49</xdr:col>
      <xdr:colOff>9000</xdr:colOff>
      <xdr:row>10</xdr:row>
      <xdr:rowOff>184320</xdr:rowOff>
    </xdr:to>
    <xdr:pic>
      <xdr:nvPicPr>
        <xdr:cNvPr id="10" name="CommandButton3"/>
        <xdr:cNvPicPr/>
      </xdr:nvPicPr>
      <xdr:blipFill>
        <a:blip r:embed="rId3"/>
        <a:stretch/>
      </xdr:blipFill>
      <xdr:spPr>
        <a:xfrm>
          <a:off x="31568760" y="2190600"/>
          <a:ext cx="2693520" cy="286200"/>
        </a:xfrm>
        <a:prstGeom prst="rect">
          <a:avLst/>
        </a:prstGeom>
        <a:noFill/>
        <a:ln w="0">
          <a:noFill/>
        </a:ln>
      </xdr:spPr>
    </xdr:pic>
    <xdr:clientData/>
  </xdr:twoCellAnchor>
  <xdr:twoCellAnchor editAs="oneCell">
    <xdr:from>
      <xdr:col>47</xdr:col>
      <xdr:colOff>9360</xdr:colOff>
      <xdr:row>10</xdr:row>
      <xdr:rowOff>183960</xdr:rowOff>
    </xdr:from>
    <xdr:to>
      <xdr:col>49</xdr:col>
      <xdr:colOff>9000</xdr:colOff>
      <xdr:row>12</xdr:row>
      <xdr:rowOff>4680</xdr:rowOff>
    </xdr:to>
    <xdr:pic>
      <xdr:nvPicPr>
        <xdr:cNvPr id="11" name="CommandButton5"/>
        <xdr:cNvPicPr/>
      </xdr:nvPicPr>
      <xdr:blipFill>
        <a:blip r:embed="rId4"/>
        <a:stretch/>
      </xdr:blipFill>
      <xdr:spPr>
        <a:xfrm>
          <a:off x="31568760" y="2476440"/>
          <a:ext cx="2693520" cy="201600"/>
        </a:xfrm>
        <a:prstGeom prst="rect">
          <a:avLst/>
        </a:prstGeom>
        <a:noFill/>
        <a:ln w="0">
          <a:noFill/>
        </a:ln>
      </xdr:spPr>
    </xdr:pic>
    <xdr:clientData/>
  </xdr:twoCellAnchor>
  <xdr:twoCellAnchor editAs="oneCell">
    <xdr:from>
      <xdr:col>47</xdr:col>
      <xdr:colOff>9360</xdr:colOff>
      <xdr:row>11</xdr:row>
      <xdr:rowOff>155520</xdr:rowOff>
    </xdr:from>
    <xdr:to>
      <xdr:col>49</xdr:col>
      <xdr:colOff>9000</xdr:colOff>
      <xdr:row>13</xdr:row>
      <xdr:rowOff>48240</xdr:rowOff>
    </xdr:to>
    <xdr:pic>
      <xdr:nvPicPr>
        <xdr:cNvPr id="12" name="CommandButton6"/>
        <xdr:cNvPicPr/>
      </xdr:nvPicPr>
      <xdr:blipFill>
        <a:blip r:embed="rId5"/>
        <a:stretch/>
      </xdr:blipFill>
      <xdr:spPr>
        <a:xfrm>
          <a:off x="31568760" y="2638440"/>
          <a:ext cx="2693520" cy="273600"/>
        </a:xfrm>
        <a:prstGeom prst="rect">
          <a:avLst/>
        </a:prstGeom>
        <a:noFill/>
        <a:ln w="0">
          <a:noFill/>
        </a:ln>
      </xdr:spPr>
    </xdr:pic>
    <xdr:clientData/>
  </xdr:twoCellAnchor>
  <xdr:twoCellAnchor editAs="oneCell">
    <xdr:from>
      <xdr:col>47</xdr:col>
      <xdr:colOff>9360</xdr:colOff>
      <xdr:row>12</xdr:row>
      <xdr:rowOff>174600</xdr:rowOff>
    </xdr:from>
    <xdr:to>
      <xdr:col>49</xdr:col>
      <xdr:colOff>18360</xdr:colOff>
      <xdr:row>14</xdr:row>
      <xdr:rowOff>16560</xdr:rowOff>
    </xdr:to>
    <xdr:pic>
      <xdr:nvPicPr>
        <xdr:cNvPr id="13" name="CommandButton7"/>
        <xdr:cNvPicPr/>
      </xdr:nvPicPr>
      <xdr:blipFill>
        <a:blip r:embed="rId6"/>
        <a:stretch/>
      </xdr:blipFill>
      <xdr:spPr>
        <a:xfrm>
          <a:off x="31568760" y="2847960"/>
          <a:ext cx="2702880" cy="222840"/>
        </a:xfrm>
        <a:prstGeom prst="rect">
          <a:avLst/>
        </a:prstGeom>
        <a:noFill/>
        <a:ln w="0">
          <a:noFill/>
        </a:ln>
      </xdr:spPr>
    </xdr:pic>
    <xdr:clientData/>
  </xdr:twoCellAnchor>
  <xdr:twoCellAnchor editAs="oneCell">
    <xdr:from>
      <xdr:col>47</xdr:col>
      <xdr:colOff>9360</xdr:colOff>
      <xdr:row>13</xdr:row>
      <xdr:rowOff>165240</xdr:rowOff>
    </xdr:from>
    <xdr:to>
      <xdr:col>49</xdr:col>
      <xdr:colOff>18360</xdr:colOff>
      <xdr:row>18</xdr:row>
      <xdr:rowOff>14760</xdr:rowOff>
    </xdr:to>
    <xdr:pic>
      <xdr:nvPicPr>
        <xdr:cNvPr id="14" name="CommandButton8"/>
        <xdr:cNvPicPr/>
      </xdr:nvPicPr>
      <xdr:blipFill>
        <a:blip r:embed="rId7"/>
        <a:stretch/>
      </xdr:blipFill>
      <xdr:spPr>
        <a:xfrm>
          <a:off x="31568760" y="3029040"/>
          <a:ext cx="2702880" cy="230400"/>
        </a:xfrm>
        <a:prstGeom prst="rect">
          <a:avLst/>
        </a:prstGeom>
        <a:noFill/>
        <a:ln w="0"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0</xdr:colOff>
      <xdr:row>1</xdr:row>
      <xdr:rowOff>133200</xdr:rowOff>
    </xdr:from>
    <xdr:to>
      <xdr:col>3</xdr:col>
      <xdr:colOff>1323720</xdr:colOff>
      <xdr:row>6</xdr:row>
      <xdr:rowOff>154080</xdr:rowOff>
    </xdr:to>
    <xdr:pic>
      <xdr:nvPicPr>
        <xdr:cNvPr id="15" name="Image 1"/>
        <xdr:cNvPicPr/>
      </xdr:nvPicPr>
      <xdr:blipFill>
        <a:blip r:embed="rId1"/>
        <a:stretch/>
      </xdr:blipFill>
      <xdr:spPr>
        <a:xfrm>
          <a:off x="151200" y="314280"/>
          <a:ext cx="2923920" cy="925560"/>
        </a:xfrm>
        <a:prstGeom prst="rect">
          <a:avLst/>
        </a:prstGeom>
        <a:noFill/>
        <a:ln w="0">
          <a:noFill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219240</xdr:colOff>
      <xdr:row>1</xdr:row>
      <xdr:rowOff>162000</xdr:rowOff>
    </xdr:from>
    <xdr:to>
      <xdr:col>3</xdr:col>
      <xdr:colOff>1209600</xdr:colOff>
      <xdr:row>6</xdr:row>
      <xdr:rowOff>181080</xdr:rowOff>
    </xdr:to>
    <xdr:pic>
      <xdr:nvPicPr>
        <xdr:cNvPr id="16" name="Image 1"/>
        <xdr:cNvPicPr/>
      </xdr:nvPicPr>
      <xdr:blipFill>
        <a:blip r:embed="rId1"/>
        <a:stretch/>
      </xdr:blipFill>
      <xdr:spPr>
        <a:xfrm>
          <a:off x="219240" y="343080"/>
          <a:ext cx="2946240" cy="923760"/>
        </a:xfrm>
        <a:prstGeom prst="rect">
          <a:avLst/>
        </a:prstGeom>
        <a:noFill/>
        <a:ln w="0">
          <a:noFill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28440</xdr:colOff>
      <xdr:row>1</xdr:row>
      <xdr:rowOff>123840</xdr:rowOff>
    </xdr:from>
    <xdr:to>
      <xdr:col>3</xdr:col>
      <xdr:colOff>1096920</xdr:colOff>
      <xdr:row>6</xdr:row>
      <xdr:rowOff>95040</xdr:rowOff>
    </xdr:to>
    <xdr:pic>
      <xdr:nvPicPr>
        <xdr:cNvPr id="17" name="Image 1"/>
        <xdr:cNvPicPr/>
      </xdr:nvPicPr>
      <xdr:blipFill>
        <a:blip r:embed="rId1"/>
        <a:stretch/>
      </xdr:blipFill>
      <xdr:spPr>
        <a:xfrm>
          <a:off x="268560" y="304920"/>
          <a:ext cx="2792880" cy="875880"/>
        </a:xfrm>
        <a:prstGeom prst="rect">
          <a:avLst/>
        </a:prstGeom>
        <a:noFill/>
        <a:ln w="0">
          <a:noFill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295200</xdr:colOff>
      <xdr:row>3</xdr:row>
      <xdr:rowOff>9360</xdr:rowOff>
    </xdr:from>
    <xdr:to>
      <xdr:col>3</xdr:col>
      <xdr:colOff>1030320</xdr:colOff>
      <xdr:row>7</xdr:row>
      <xdr:rowOff>171000</xdr:rowOff>
    </xdr:to>
    <xdr:pic>
      <xdr:nvPicPr>
        <xdr:cNvPr id="18" name="Image 2"/>
        <xdr:cNvPicPr/>
      </xdr:nvPicPr>
      <xdr:blipFill>
        <a:blip r:embed="rId1"/>
        <a:stretch/>
      </xdr:blipFill>
      <xdr:spPr>
        <a:xfrm>
          <a:off x="295200" y="552240"/>
          <a:ext cx="2833200" cy="894960"/>
        </a:xfrm>
        <a:prstGeom prst="rect">
          <a:avLst/>
        </a:prstGeom>
        <a:noFill/>
        <a:ln w="0">
          <a:noFill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285840</xdr:colOff>
      <xdr:row>3</xdr:row>
      <xdr:rowOff>28440</xdr:rowOff>
    </xdr:from>
    <xdr:to>
      <xdr:col>3</xdr:col>
      <xdr:colOff>1154160</xdr:colOff>
      <xdr:row>7</xdr:row>
      <xdr:rowOff>180720</xdr:rowOff>
    </xdr:to>
    <xdr:pic>
      <xdr:nvPicPr>
        <xdr:cNvPr id="19" name="Image 2"/>
        <xdr:cNvPicPr/>
      </xdr:nvPicPr>
      <xdr:blipFill>
        <a:blip r:embed="rId1"/>
        <a:stretch/>
      </xdr:blipFill>
      <xdr:spPr>
        <a:xfrm>
          <a:off x="285840" y="571320"/>
          <a:ext cx="2966400" cy="876240"/>
        </a:xfrm>
        <a:prstGeom prst="rect">
          <a:avLst/>
        </a:prstGeom>
        <a:noFill/>
        <a:ln w="0">
          <a:noFill/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304920</xdr:colOff>
      <xdr:row>3</xdr:row>
      <xdr:rowOff>28440</xdr:rowOff>
    </xdr:from>
    <xdr:to>
      <xdr:col>3</xdr:col>
      <xdr:colOff>1135080</xdr:colOff>
      <xdr:row>7</xdr:row>
      <xdr:rowOff>180720</xdr:rowOff>
    </xdr:to>
    <xdr:pic>
      <xdr:nvPicPr>
        <xdr:cNvPr id="20" name="Image 2"/>
        <xdr:cNvPicPr/>
      </xdr:nvPicPr>
      <xdr:blipFill>
        <a:blip r:embed="rId1"/>
        <a:stretch/>
      </xdr:blipFill>
      <xdr:spPr>
        <a:xfrm>
          <a:off x="304920" y="571320"/>
          <a:ext cx="2972520" cy="876240"/>
        </a:xfrm>
        <a:prstGeom prst="rect">
          <a:avLst/>
        </a:prstGeom>
        <a:noFill/>
        <a:ln w="0">
          <a:noFill/>
        </a:ln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11520</xdr:colOff>
      <xdr:row>3</xdr:row>
      <xdr:rowOff>19080</xdr:rowOff>
    </xdr:from>
    <xdr:to>
      <xdr:col>3</xdr:col>
      <xdr:colOff>1202040</xdr:colOff>
      <xdr:row>7</xdr:row>
      <xdr:rowOff>180720</xdr:rowOff>
    </xdr:to>
    <xdr:pic>
      <xdr:nvPicPr>
        <xdr:cNvPr id="21" name="Image 2"/>
        <xdr:cNvPicPr/>
      </xdr:nvPicPr>
      <xdr:blipFill>
        <a:blip r:embed="rId1"/>
        <a:stretch/>
      </xdr:blipFill>
      <xdr:spPr>
        <a:xfrm>
          <a:off x="304920" y="561960"/>
          <a:ext cx="2915280" cy="885600"/>
        </a:xfrm>
        <a:prstGeom prst="rect">
          <a:avLst/>
        </a:prstGeom>
        <a:noFill/>
        <a:ln w="0">
          <a:noFill/>
        </a:ln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0</xdr:colOff>
      <xdr:row>3</xdr:row>
      <xdr:rowOff>0</xdr:rowOff>
    </xdr:from>
    <xdr:to>
      <xdr:col>3</xdr:col>
      <xdr:colOff>1182600</xdr:colOff>
      <xdr:row>7</xdr:row>
      <xdr:rowOff>161640</xdr:rowOff>
    </xdr:to>
    <xdr:pic>
      <xdr:nvPicPr>
        <xdr:cNvPr id="22" name="Image 1"/>
        <xdr:cNvPicPr/>
      </xdr:nvPicPr>
      <xdr:blipFill>
        <a:blip r:embed="rId1"/>
        <a:stretch/>
      </xdr:blipFill>
      <xdr:spPr>
        <a:xfrm>
          <a:off x="240120" y="542880"/>
          <a:ext cx="2907000" cy="885600"/>
        </a:xfrm>
        <a:prstGeom prst="rect">
          <a:avLst/>
        </a:prstGeom>
        <a:noFill/>
        <a:ln w="0">
          <a:noFill/>
        </a:ln>
      </xdr:spPr>
    </xdr:pic>
    <xdr:clientData/>
  </xdr:twoCellAnchor>
  <xdr:twoCellAnchor editAs="oneCell">
    <xdr:from>
      <xdr:col>9</xdr:col>
      <xdr:colOff>352440</xdr:colOff>
      <xdr:row>28</xdr:row>
      <xdr:rowOff>48240</xdr:rowOff>
    </xdr:from>
    <xdr:to>
      <xdr:col>12</xdr:col>
      <xdr:colOff>845280</xdr:colOff>
      <xdr:row>35</xdr:row>
      <xdr:rowOff>159120</xdr:rowOff>
    </xdr:to>
    <xdr:pic>
      <xdr:nvPicPr>
        <xdr:cNvPr id="23" name="Image 4"/>
        <xdr:cNvPicPr/>
      </xdr:nvPicPr>
      <xdr:blipFill>
        <a:blip r:embed="rId2"/>
        <a:stretch/>
      </xdr:blipFill>
      <xdr:spPr>
        <a:xfrm>
          <a:off x="9020160" y="5448960"/>
          <a:ext cx="2208600" cy="1558800"/>
        </a:xfrm>
        <a:prstGeom prst="rect">
          <a:avLst/>
        </a:prstGeom>
        <a:noFill/>
        <a:ln w="0">
          <a:noFill/>
        </a:ln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31680</xdr:colOff>
      <xdr:row>1</xdr:row>
      <xdr:rowOff>133200</xdr:rowOff>
    </xdr:from>
    <xdr:to>
      <xdr:col>4</xdr:col>
      <xdr:colOff>18720</xdr:colOff>
      <xdr:row>6</xdr:row>
      <xdr:rowOff>18720</xdr:rowOff>
    </xdr:to>
    <xdr:pic>
      <xdr:nvPicPr>
        <xdr:cNvPr id="24" name="Image 3"/>
        <xdr:cNvPicPr/>
      </xdr:nvPicPr>
      <xdr:blipFill>
        <a:blip r:embed="rId1"/>
        <a:stretch/>
      </xdr:blipFill>
      <xdr:spPr>
        <a:xfrm>
          <a:off x="565200" y="314280"/>
          <a:ext cx="2885040" cy="790200"/>
        </a:xfrm>
        <a:prstGeom prst="rect">
          <a:avLst/>
        </a:prstGeom>
        <a:noFill/>
        <a:ln w="0">
          <a:noFill/>
        </a:ln>
      </xdr:spPr>
    </xdr:pic>
    <xdr:clientData/>
  </xdr:twoCellAnchor>
  <xdr:twoCellAnchor editAs="twoCell">
    <xdr:from>
      <xdr:col>4</xdr:col>
      <xdr:colOff>800280</xdr:colOff>
      <xdr:row>2</xdr:row>
      <xdr:rowOff>12600</xdr:rowOff>
    </xdr:from>
    <xdr:to>
      <xdr:col>13</xdr:col>
      <xdr:colOff>291960</xdr:colOff>
      <xdr:row>6</xdr:row>
      <xdr:rowOff>126720</xdr:rowOff>
    </xdr:to>
    <xdr:sp>
      <xdr:nvSpPr>
        <xdr:cNvPr id="25" name="Zone de texte 1"/>
        <xdr:cNvSpPr/>
      </xdr:nvSpPr>
      <xdr:spPr>
        <a:xfrm>
          <a:off x="4231800" y="374400"/>
          <a:ext cx="7848360" cy="838080"/>
        </a:xfrm>
        <a:prstGeom prst="rect">
          <a:avLst/>
        </a:prstGeom>
        <a:solidFill>
          <a:srgbClr val="ffffff"/>
        </a:solidFill>
        <a:ln w="6350">
          <a:noFill/>
        </a:ln>
      </xdr:spPr>
      <xdr:style>
        <a:lnRef idx="0"/>
        <a:fillRef idx="0"/>
        <a:effectRef idx="0"/>
        <a:fontRef idx="minor"/>
      </xdr:style>
      <xdr:txBody>
        <a:bodyPr numCol="1" spcCol="0" anchor="t">
          <a:noAutofit/>
        </a:bodyPr>
        <a:p>
          <a:pPr algn="ctr">
            <a:lnSpc>
              <a:spcPct val="107000"/>
            </a:lnSpc>
            <a:spcAft>
              <a:spcPts val="799"/>
            </a:spcAft>
          </a:pPr>
          <a:r>
            <a:rPr lang="fr-FR" sz="1800" b="0" u="none" strike="noStrike">
              <a:solidFill>
                <a:srgbClr val="767171"/>
              </a:solidFill>
              <a:effectLst/>
              <a:uFillTx/>
              <a:latin typeface="Calibri"/>
              <a:ea typeface="Calibri"/>
            </a:rPr>
            <a:t>Ecole Supérieure d’ingénierie et d’innovation Technologique                         </a:t>
          </a:r>
          <a:r>
            <a:rPr lang="fr-FR" sz="1400" b="0" u="none" strike="noStrike">
              <a:solidFill>
                <a:srgbClr val="767171"/>
              </a:solidFill>
              <a:effectLst/>
              <a:uFillTx/>
              <a:latin typeface="Calibri"/>
              <a:ea typeface="Calibri"/>
            </a:rPr>
            <a:t>Année académique 2022/2023</a:t>
          </a:r>
          <a:endParaRPr lang="fr-FR" sz="1400" b="0" u="none" strike="noStrike">
            <a:effectLst/>
            <a:uFillTx/>
            <a:latin typeface="Times New Roman"/>
          </a:endParaRPr>
        </a:p>
        <a:p>
          <a:pPr algn="ctr">
            <a:lnSpc>
              <a:spcPct val="107000"/>
            </a:lnSpc>
            <a:spcAft>
              <a:spcPts val="799"/>
            </a:spcAft>
          </a:pPr>
          <a:r>
            <a:rPr lang="fr-FR" sz="1800" b="0" u="none" strike="noStrike">
              <a:solidFill>
                <a:srgbClr val="767171"/>
              </a:solidFill>
              <a:effectLst/>
              <a:uFillTx/>
              <a:latin typeface="Calibri"/>
              <a:ea typeface="Calibri"/>
            </a:rPr>
            <a:t> </a:t>
          </a:r>
          <a:endParaRPr lang="fr-FR" sz="1800" b="0" u="none" strike="noStrike">
            <a:effectLst/>
            <a:uFillTx/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xmlns:r="http://schemas.openxmlformats.org/officeDocument/2006/relationships" name="Thème Office">
  <a:themeElements>
    <a:clrScheme name="Office">
      <a:dk1>
        <a:srgbClr val="000000"/>
      </a:dk1>
      <a:lt1>
        <a:srgbClr val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 pitchFamily="0" charset="1"/>
        <a:ea typeface=""/>
        <a:cs typeface=""/>
      </a:majorFont>
      <a:minorFont>
        <a:latin typeface="Calibri" panose="020F0502020204030204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 l="0" t="0" r="0" b="0"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 l="0" t="0" r="0" b="0"/>
        </a:gradFill>
      </a:fillStyleLst>
      <a:lnStyleLst>
        <a:ln w="6350" cap="flat" cmpd="sng" algn="ctr">
          <a:prstDash val="solid"/>
          <a:miter lim="800000"/>
        </a:ln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 l="0" t="0" r="0" b="0"/>
        </a:gradFill>
      </a:bgFillStyleLst>
    </a:fmtScheme>
  </a:themeElements>
</a:them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drawing" Target="../drawings/drawing2.xml"/>
</Relationships>
</file>

<file path=xl/worksheets/_rels/sheet4.xml.rels><?xml version="1.0" encoding="UTF-8"?>
<Relationships xmlns="http://schemas.openxmlformats.org/package/2006/relationships"><Relationship Id="rId1" Type="http://schemas.openxmlformats.org/officeDocument/2006/relationships/drawing" Target="../drawings/drawing3.xml"/>
</Relationships>
</file>

<file path=xl/worksheets/_rels/sheet5.xml.rels><?xml version="1.0" encoding="UTF-8"?>
<Relationships xmlns="http://schemas.openxmlformats.org/package/2006/relationships"><Relationship Id="rId1" Type="http://schemas.openxmlformats.org/officeDocument/2006/relationships/drawing" Target="../drawings/drawing4.xml"/>
</Relationships>
</file>

<file path=xl/worksheets/_rels/sheet6.xml.rels><?xml version="1.0" encoding="UTF-8"?>
<Relationships xmlns="http://schemas.openxmlformats.org/package/2006/relationships"><Relationship Id="rId1" Type="http://schemas.openxmlformats.org/officeDocument/2006/relationships/drawing" Target="../drawings/drawing5.xml"/>
</Relationships>
</file>

<file path=xl/worksheets/_rels/sheet7.xml.rels><?xml version="1.0" encoding="UTF-8"?>
<Relationships xmlns="http://schemas.openxmlformats.org/package/2006/relationships"><Relationship Id="rId1" Type="http://schemas.openxmlformats.org/officeDocument/2006/relationships/drawing" Target="../drawings/drawing6.xml"/>
</Relationships>
</file>

<file path=xl/worksheets/_rels/sheet8.xml.rels><?xml version="1.0" encoding="UTF-8"?>
<Relationships xmlns="http://schemas.openxmlformats.org/package/2006/relationships"><Relationship Id="rId1" Type="http://schemas.openxmlformats.org/officeDocument/2006/relationships/drawing" Target="../drawings/drawing7.xml"/>
</Relationships>
</file>

<file path=xl/worksheets/_rels/sheet9.xml.rels><?xml version="1.0" encoding="UTF-8"?>
<Relationships xmlns="http://schemas.openxmlformats.org/package/2006/relationships"><Relationship Id="rId1" Type="http://schemas.openxmlformats.org/officeDocument/2006/relationships/drawing" Target="../drawings/drawing8.xml"/>
</Relationships>
</file>

<file path=xl/worksheets/_rels/sheet10.xml.rels><?xml version="1.0" encoding="UTF-8"?>
<Relationships xmlns="http://schemas.openxmlformats.org/package/2006/relationships"><Relationship Id="rId1" Type="http://schemas.openxmlformats.org/officeDocument/2006/relationships/drawing" Target="../drawings/drawing9.xml"/>
</Relationships>
</file>

<file path=xl/worksheets/_rels/sheet11.xml.rels><?xml version="1.0" encoding="UTF-8"?>
<Relationships xmlns="http://schemas.openxmlformats.org/package/2006/relationships"><Relationship Id="rId1" Type="http://schemas.openxmlformats.org/officeDocument/2006/relationships/drawing" Target="../drawings/drawing10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FF0000"/>
    <pageSetUpPr fitToPage="false"/>
  </sheetPr>
  <dimension ref="A1:AW358"/>
  <sheetViews>
    <sheetView showFormulas="false" showGridLines="false" showRowColHeaders="true" showZeros="true" rightToLeft="false" tabSelected="false" showOutlineSymbols="true" defaultGridColor="true" view="normal" topLeftCell="A1" colorId="64" zoomScale="107" zoomScaleNormal="107" zoomScalePageLayoutView="100" workbookViewId="0">
      <pane xSplit="1" ySplit="9" topLeftCell="B10" activePane="bottomRight" state="frozen"/>
      <selection pane="topLeft" activeCell="A1" activeCellId="0" sqref="A1"/>
      <selection pane="topRight" activeCell="B1" activeCellId="0" sqref="B1"/>
      <selection pane="bottomLeft" activeCell="A10" activeCellId="0" sqref="A10"/>
      <selection pane="bottomRight" activeCell="A1" activeCellId="0" sqref="A1"/>
    </sheetView>
  </sheetViews>
  <sheetFormatPr defaultColWidth="11.55859375" defaultRowHeight="14.25" customHeight="false" zeroHeight="false" outlineLevelRow="0" outlineLevelCol="0"/>
  <cols>
    <col collapsed="false" customWidth="true" hidden="false" outlineLevel="0" max="1" min="1" style="1" width="75.11"/>
    <col collapsed="false" customWidth="true" hidden="false" outlineLevel="0" max="2" min="2" style="1" width="16.45"/>
    <col collapsed="false" customWidth="false" hidden="false" outlineLevel="0" max="3" min="3" style="1" width="11.55"/>
    <col collapsed="false" customWidth="true" hidden="false" outlineLevel="0" max="4" min="4" style="1" width="10.11"/>
    <col collapsed="false" customWidth="true" hidden="false" outlineLevel="0" max="5" min="5" style="2" width="9.56"/>
    <col collapsed="false" customWidth="true" hidden="false" outlineLevel="0" max="6" min="6" style="2" width="5.33"/>
    <col collapsed="false" customWidth="true" hidden="false" outlineLevel="0" max="7" min="7" style="2" width="4.67"/>
    <col collapsed="false" customWidth="true" hidden="false" outlineLevel="0" max="8" min="8" style="2" width="6.34"/>
    <col collapsed="false" customWidth="true" hidden="false" outlineLevel="0" max="9" min="9" style="2" width="9.89"/>
    <col collapsed="false" customWidth="true" hidden="false" outlineLevel="0" max="10" min="10" style="3" width="5.33"/>
    <col collapsed="false" customWidth="true" hidden="false" outlineLevel="0" max="11" min="11" style="3" width="4.55"/>
    <col collapsed="false" customWidth="true" hidden="false" outlineLevel="0" max="12" min="12" style="2" width="6.34"/>
    <col collapsed="false" customWidth="true" hidden="false" outlineLevel="0" max="13" min="13" style="2" width="9.89"/>
    <col collapsed="false" customWidth="true" hidden="false" outlineLevel="0" max="14" min="14" style="2" width="5.33"/>
    <col collapsed="false" customWidth="true" hidden="false" outlineLevel="0" max="15" min="15" style="2" width="4.55"/>
    <col collapsed="false" customWidth="true" hidden="false" outlineLevel="0" max="16" min="16" style="2" width="8.55"/>
    <col collapsed="false" customWidth="true" hidden="false" outlineLevel="0" max="17" min="17" style="2" width="8.11"/>
    <col collapsed="false" customWidth="true" hidden="false" outlineLevel="0" max="18" min="18" style="2" width="5.33"/>
    <col collapsed="false" customWidth="true" hidden="false" outlineLevel="0" max="19" min="19" style="2" width="4.55"/>
    <col collapsed="false" customWidth="true" hidden="false" outlineLevel="0" max="20" min="20" style="2" width="6.34"/>
    <col collapsed="false" customWidth="true" hidden="false" outlineLevel="0" max="21" min="21" style="2" width="8.11"/>
    <col collapsed="false" customWidth="true" hidden="false" outlineLevel="0" max="22" min="22" style="2" width="5.33"/>
    <col collapsed="false" customWidth="true" hidden="false" outlineLevel="0" max="23" min="23" style="2" width="4.55"/>
    <col collapsed="false" customWidth="true" hidden="false" outlineLevel="0" max="24" min="24" style="2" width="6.34"/>
    <col collapsed="false" customWidth="true" hidden="false" outlineLevel="0" max="25" min="25" style="2" width="8.11"/>
    <col collapsed="false" customWidth="true" hidden="false" outlineLevel="0" max="26" min="26" style="2" width="5.33"/>
    <col collapsed="false" customWidth="true" hidden="false" outlineLevel="0" max="27" min="27" style="2" width="4.55"/>
    <col collapsed="false" customWidth="true" hidden="false" outlineLevel="0" max="28" min="28" style="2" width="6.34"/>
    <col collapsed="false" customWidth="true" hidden="false" outlineLevel="0" max="29" min="29" style="2" width="8.11"/>
    <col collapsed="false" customWidth="true" hidden="false" outlineLevel="0" max="30" min="30" style="2" width="5.33"/>
    <col collapsed="false" customWidth="true" hidden="false" outlineLevel="0" max="31" min="31" style="2" width="4.55"/>
    <col collapsed="false" customWidth="true" hidden="false" outlineLevel="0" max="32" min="32" style="2" width="7.11"/>
    <col collapsed="false" customWidth="true" hidden="false" outlineLevel="0" max="33" min="33" style="2" width="8.11"/>
    <col collapsed="false" customWidth="true" hidden="false" outlineLevel="0" max="34" min="34" style="2" width="5.33"/>
    <col collapsed="false" customWidth="true" hidden="false" outlineLevel="0" max="35" min="35" style="2" width="4.67"/>
    <col collapsed="false" customWidth="true" hidden="false" outlineLevel="0" max="36" min="36" style="2" width="6.34"/>
    <col collapsed="false" customWidth="true" hidden="false" outlineLevel="0" max="37" min="37" style="2" width="8.11"/>
    <col collapsed="false" customWidth="true" hidden="false" outlineLevel="0" max="38" min="38" style="2" width="5.33"/>
    <col collapsed="false" customWidth="true" hidden="false" outlineLevel="0" max="39" min="39" style="2" width="4.67"/>
    <col collapsed="false" customWidth="true" hidden="false" outlineLevel="0" max="40" min="40" style="2" width="6.34"/>
    <col collapsed="false" customWidth="true" hidden="false" outlineLevel="0" max="41" min="41" style="2" width="8.11"/>
    <col collapsed="false" customWidth="true" hidden="false" outlineLevel="0" max="42" min="42" style="2" width="5.33"/>
    <col collapsed="false" customWidth="true" hidden="false" outlineLevel="0" max="43" min="43" style="2" width="4.55"/>
    <col collapsed="false" customWidth="true" hidden="false" outlineLevel="0" max="44" min="44" style="2" width="6.34"/>
    <col collapsed="false" customWidth="true" hidden="false" outlineLevel="0" max="45" min="45" style="4" width="8.11"/>
    <col collapsed="false" customWidth="true" hidden="false" outlineLevel="0" max="46" min="46" style="2" width="10.11"/>
    <col collapsed="false" customWidth="true" hidden="false" outlineLevel="0" max="47" min="47" style="2" width="11.33"/>
    <col collapsed="false" customWidth="true" hidden="false" outlineLevel="0" max="48" min="48" style="2" width="22.11"/>
    <col collapsed="false" customWidth="false" hidden="false" outlineLevel="0" max="16384" min="49" style="2" width="11.55"/>
  </cols>
  <sheetData>
    <row r="1" customFormat="false" ht="17.35" hidden="false" customHeight="false" outlineLevel="0" collapsed="false">
      <c r="A1" s="5" t="s">
        <v>0</v>
      </c>
      <c r="B1" s="6"/>
      <c r="C1" s="6"/>
      <c r="D1" s="6"/>
      <c r="E1" s="7"/>
      <c r="F1" s="8"/>
      <c r="G1" s="8"/>
      <c r="H1" s="8"/>
      <c r="I1" s="8"/>
      <c r="J1" s="9"/>
      <c r="K1" s="9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B1" s="8"/>
      <c r="AC1" s="8"/>
      <c r="AD1" s="8"/>
      <c r="AE1" s="8"/>
      <c r="AF1" s="8"/>
      <c r="AG1" s="8"/>
      <c r="AH1" s="8"/>
      <c r="AI1" s="8"/>
      <c r="AJ1" s="8"/>
      <c r="AK1" s="8"/>
      <c r="AL1" s="8"/>
      <c r="AM1" s="8"/>
      <c r="AN1" s="8"/>
      <c r="AO1" s="8"/>
      <c r="AP1" s="8"/>
      <c r="AQ1" s="8"/>
      <c r="AR1" s="8"/>
      <c r="AS1" s="10"/>
      <c r="AT1" s="8"/>
      <c r="AU1" s="8"/>
    </row>
    <row r="2" customFormat="false" ht="17.35" hidden="false" customHeight="false" outlineLevel="0" collapsed="false">
      <c r="A2" s="5" t="s">
        <v>1</v>
      </c>
      <c r="B2" s="5" t="s">
        <v>2</v>
      </c>
      <c r="C2" s="5"/>
      <c r="D2" s="5"/>
      <c r="E2" s="7"/>
      <c r="F2" s="8"/>
      <c r="G2" s="8"/>
      <c r="H2" s="8"/>
      <c r="I2" s="8"/>
      <c r="J2" s="9"/>
      <c r="K2" s="9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10"/>
      <c r="AT2" s="8"/>
      <c r="AU2" s="8"/>
    </row>
    <row r="3" customFormat="false" ht="28.5" hidden="false" customHeight="true" outlineLevel="0" collapsed="false">
      <c r="A3" s="11" t="s">
        <v>3</v>
      </c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P3" s="11"/>
      <c r="AQ3" s="11"/>
      <c r="AR3" s="11"/>
      <c r="AS3" s="11"/>
      <c r="AT3" s="11"/>
      <c r="AU3" s="11"/>
    </row>
    <row r="4" customFormat="false" ht="4.5" hidden="false" customHeight="true" outlineLevel="0" collapsed="false">
      <c r="A4" s="12"/>
      <c r="B4" s="12"/>
      <c r="C4" s="12"/>
      <c r="D4" s="12"/>
      <c r="E4" s="8"/>
      <c r="F4" s="8"/>
      <c r="G4" s="8"/>
      <c r="H4" s="8"/>
      <c r="I4" s="8"/>
      <c r="J4" s="9"/>
      <c r="K4" s="9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10"/>
      <c r="AT4" s="8"/>
      <c r="AU4" s="8"/>
    </row>
    <row r="5" s="18" customFormat="true" ht="20.85" hidden="false" customHeight="true" outlineLevel="0" collapsed="false">
      <c r="A5" s="13" t="s">
        <v>4</v>
      </c>
      <c r="B5" s="13"/>
      <c r="C5" s="13"/>
      <c r="D5" s="13"/>
      <c r="E5" s="13"/>
      <c r="F5" s="14" t="s">
        <v>5</v>
      </c>
      <c r="G5" s="14"/>
      <c r="H5" s="14"/>
      <c r="I5" s="14"/>
      <c r="J5" s="14"/>
      <c r="K5" s="14"/>
      <c r="L5" s="14"/>
      <c r="M5" s="14"/>
      <c r="N5" s="15" t="s">
        <v>6</v>
      </c>
      <c r="O5" s="15"/>
      <c r="P5" s="15"/>
      <c r="Q5" s="15"/>
      <c r="R5" s="15"/>
      <c r="S5" s="15"/>
      <c r="T5" s="15"/>
      <c r="U5" s="15"/>
      <c r="V5" s="16" t="s">
        <v>7</v>
      </c>
      <c r="W5" s="16"/>
      <c r="X5" s="16"/>
      <c r="Y5" s="16"/>
      <c r="Z5" s="16"/>
      <c r="AA5" s="16"/>
      <c r="AB5" s="16"/>
      <c r="AC5" s="16"/>
      <c r="AD5" s="16"/>
      <c r="AE5" s="16"/>
      <c r="AF5" s="16"/>
      <c r="AG5" s="16"/>
      <c r="AH5" s="17" t="s">
        <v>8</v>
      </c>
      <c r="AI5" s="17"/>
      <c r="AJ5" s="17"/>
      <c r="AK5" s="17"/>
      <c r="AL5" s="17"/>
      <c r="AM5" s="17"/>
      <c r="AN5" s="17"/>
      <c r="AO5" s="17"/>
      <c r="AP5" s="17"/>
      <c r="AQ5" s="17"/>
      <c r="AR5" s="17"/>
      <c r="AS5" s="17"/>
    </row>
    <row r="6" s="24" customFormat="true" ht="23.85" hidden="false" customHeight="true" outlineLevel="0" collapsed="false">
      <c r="A6" s="19" t="s">
        <v>9</v>
      </c>
      <c r="B6" s="19"/>
      <c r="C6" s="19"/>
      <c r="D6" s="19"/>
      <c r="E6" s="19"/>
      <c r="F6" s="20" t="s">
        <v>10</v>
      </c>
      <c r="G6" s="20"/>
      <c r="H6" s="20"/>
      <c r="I6" s="20"/>
      <c r="J6" s="20" t="s">
        <v>11</v>
      </c>
      <c r="K6" s="20"/>
      <c r="L6" s="20"/>
      <c r="M6" s="20"/>
      <c r="N6" s="21" t="s">
        <v>12</v>
      </c>
      <c r="O6" s="21"/>
      <c r="P6" s="21"/>
      <c r="Q6" s="21"/>
      <c r="R6" s="21" t="s">
        <v>13</v>
      </c>
      <c r="S6" s="21"/>
      <c r="T6" s="21"/>
      <c r="U6" s="21"/>
      <c r="V6" s="22" t="s">
        <v>14</v>
      </c>
      <c r="W6" s="22"/>
      <c r="X6" s="22"/>
      <c r="Y6" s="22"/>
      <c r="Z6" s="22" t="s">
        <v>15</v>
      </c>
      <c r="AA6" s="22"/>
      <c r="AB6" s="22"/>
      <c r="AC6" s="22"/>
      <c r="AD6" s="22" t="s">
        <v>16</v>
      </c>
      <c r="AE6" s="22"/>
      <c r="AF6" s="22"/>
      <c r="AG6" s="22"/>
      <c r="AH6" s="23" t="s">
        <v>17</v>
      </c>
      <c r="AI6" s="23"/>
      <c r="AJ6" s="23"/>
      <c r="AK6" s="23"/>
      <c r="AL6" s="23" t="s">
        <v>18</v>
      </c>
      <c r="AM6" s="23"/>
      <c r="AN6" s="23"/>
      <c r="AO6" s="23"/>
      <c r="AP6" s="23" t="s">
        <v>19</v>
      </c>
      <c r="AQ6" s="23"/>
      <c r="AR6" s="23"/>
      <c r="AS6" s="23"/>
    </row>
    <row r="7" s="24" customFormat="true" ht="14.25" hidden="false" customHeight="false" outlineLevel="0" collapsed="false">
      <c r="A7" s="25" t="s">
        <v>20</v>
      </c>
      <c r="B7" s="25"/>
      <c r="C7" s="26"/>
      <c r="D7" s="26"/>
      <c r="E7" s="27" t="n">
        <f aca="false">SUM(F7:AS7)</f>
        <v>30</v>
      </c>
      <c r="F7" s="28" t="n">
        <v>6</v>
      </c>
      <c r="G7" s="28"/>
      <c r="H7" s="28"/>
      <c r="I7" s="28"/>
      <c r="J7" s="28" t="n">
        <v>3</v>
      </c>
      <c r="K7" s="28"/>
      <c r="L7" s="28"/>
      <c r="M7" s="28"/>
      <c r="N7" s="28" t="n">
        <v>3</v>
      </c>
      <c r="O7" s="28"/>
      <c r="P7" s="28"/>
      <c r="Q7" s="28"/>
      <c r="R7" s="28" t="n">
        <v>3</v>
      </c>
      <c r="S7" s="28"/>
      <c r="T7" s="28"/>
      <c r="U7" s="28"/>
      <c r="V7" s="28" t="n">
        <v>2</v>
      </c>
      <c r="W7" s="28"/>
      <c r="X7" s="28"/>
      <c r="Y7" s="28"/>
      <c r="Z7" s="28" t="n">
        <v>3</v>
      </c>
      <c r="AA7" s="28"/>
      <c r="AB7" s="28"/>
      <c r="AC7" s="28"/>
      <c r="AD7" s="28" t="n">
        <v>2</v>
      </c>
      <c r="AE7" s="28"/>
      <c r="AF7" s="28"/>
      <c r="AG7" s="28"/>
      <c r="AH7" s="28" t="n">
        <v>3</v>
      </c>
      <c r="AI7" s="28"/>
      <c r="AJ7" s="28"/>
      <c r="AK7" s="28"/>
      <c r="AL7" s="28" t="n">
        <v>3</v>
      </c>
      <c r="AM7" s="28"/>
      <c r="AN7" s="28"/>
      <c r="AO7" s="28"/>
      <c r="AP7" s="28" t="n">
        <v>2</v>
      </c>
      <c r="AQ7" s="28"/>
      <c r="AR7" s="28"/>
      <c r="AS7" s="28"/>
    </row>
    <row r="8" customFormat="false" ht="20.85" hidden="false" customHeight="false" outlineLevel="0" collapsed="false">
      <c r="A8" s="29" t="s">
        <v>21</v>
      </c>
      <c r="B8" s="29"/>
      <c r="C8" s="29"/>
      <c r="D8" s="29"/>
      <c r="E8" s="29"/>
      <c r="F8" s="30" t="s">
        <v>22</v>
      </c>
      <c r="G8" s="30" t="s">
        <v>23</v>
      </c>
      <c r="H8" s="31" t="s">
        <v>24</v>
      </c>
      <c r="I8" s="30" t="s">
        <v>25</v>
      </c>
      <c r="J8" s="30" t="s">
        <v>22</v>
      </c>
      <c r="K8" s="30" t="s">
        <v>23</v>
      </c>
      <c r="L8" s="31" t="s">
        <v>24</v>
      </c>
      <c r="M8" s="30" t="s">
        <v>25</v>
      </c>
      <c r="N8" s="30" t="s">
        <v>22</v>
      </c>
      <c r="O8" s="30" t="s">
        <v>23</v>
      </c>
      <c r="P8" s="31" t="s">
        <v>24</v>
      </c>
      <c r="Q8" s="30" t="s">
        <v>25</v>
      </c>
      <c r="R8" s="30" t="s">
        <v>22</v>
      </c>
      <c r="S8" s="30" t="s">
        <v>23</v>
      </c>
      <c r="T8" s="31" t="s">
        <v>24</v>
      </c>
      <c r="U8" s="30" t="s">
        <v>25</v>
      </c>
      <c r="V8" s="32" t="s">
        <v>22</v>
      </c>
      <c r="W8" s="30" t="s">
        <v>23</v>
      </c>
      <c r="X8" s="31" t="s">
        <v>24</v>
      </c>
      <c r="Y8" s="30" t="s">
        <v>25</v>
      </c>
      <c r="Z8" s="30" t="s">
        <v>22</v>
      </c>
      <c r="AA8" s="30" t="s">
        <v>23</v>
      </c>
      <c r="AB8" s="31" t="s">
        <v>24</v>
      </c>
      <c r="AC8" s="30" t="s">
        <v>25</v>
      </c>
      <c r="AD8" s="32" t="s">
        <v>22</v>
      </c>
      <c r="AE8" s="30" t="s">
        <v>23</v>
      </c>
      <c r="AF8" s="31" t="s">
        <v>24</v>
      </c>
      <c r="AG8" s="30" t="s">
        <v>25</v>
      </c>
      <c r="AH8" s="30" t="s">
        <v>22</v>
      </c>
      <c r="AI8" s="30" t="s">
        <v>23</v>
      </c>
      <c r="AJ8" s="31" t="s">
        <v>24</v>
      </c>
      <c r="AK8" s="19" t="s">
        <v>25</v>
      </c>
      <c r="AL8" s="30" t="s">
        <v>22</v>
      </c>
      <c r="AM8" s="30" t="s">
        <v>23</v>
      </c>
      <c r="AN8" s="31" t="s">
        <v>24</v>
      </c>
      <c r="AO8" s="19" t="s">
        <v>25</v>
      </c>
      <c r="AP8" s="30" t="s">
        <v>22</v>
      </c>
      <c r="AQ8" s="30" t="s">
        <v>23</v>
      </c>
      <c r="AR8" s="31" t="s">
        <v>24</v>
      </c>
      <c r="AS8" s="33" t="s">
        <v>25</v>
      </c>
      <c r="AT8" s="34" t="s">
        <v>26</v>
      </c>
      <c r="AU8" s="34"/>
      <c r="AV8" s="35" t="s">
        <v>27</v>
      </c>
      <c r="AW8" s="35"/>
    </row>
    <row r="9" customFormat="false" ht="18" hidden="false" customHeight="true" outlineLevel="0" collapsed="false">
      <c r="A9" s="36" t="s">
        <v>28</v>
      </c>
      <c r="B9" s="37" t="s">
        <v>29</v>
      </c>
      <c r="C9" s="37" t="s">
        <v>30</v>
      </c>
      <c r="D9" s="37" t="s">
        <v>31</v>
      </c>
      <c r="E9" s="38" t="s">
        <v>32</v>
      </c>
      <c r="F9" s="39"/>
      <c r="G9" s="39"/>
      <c r="H9" s="39"/>
      <c r="I9" s="39"/>
      <c r="J9" s="40"/>
      <c r="K9" s="40"/>
      <c r="L9" s="39"/>
      <c r="M9" s="39"/>
      <c r="N9" s="39"/>
      <c r="O9" s="39"/>
      <c r="P9" s="39"/>
      <c r="Q9" s="39"/>
      <c r="R9" s="41"/>
      <c r="S9" s="39"/>
      <c r="T9" s="39"/>
      <c r="U9" s="39"/>
      <c r="V9" s="42"/>
      <c r="W9" s="39"/>
      <c r="X9" s="39"/>
      <c r="Y9" s="39"/>
      <c r="Z9" s="39"/>
      <c r="AA9" s="39"/>
      <c r="AB9" s="39"/>
      <c r="AC9" s="39"/>
      <c r="AD9" s="42"/>
      <c r="AE9" s="39"/>
      <c r="AF9" s="39"/>
      <c r="AG9" s="39"/>
      <c r="AH9" s="39"/>
      <c r="AI9" s="39"/>
      <c r="AJ9" s="39"/>
      <c r="AK9" s="39"/>
      <c r="AL9" s="39"/>
      <c r="AM9" s="39"/>
      <c r="AN9" s="39"/>
      <c r="AO9" s="39"/>
      <c r="AP9" s="39"/>
      <c r="AQ9" s="39"/>
      <c r="AR9" s="39"/>
      <c r="AS9" s="43"/>
      <c r="AT9" s="44"/>
      <c r="AU9" s="44"/>
      <c r="AV9" s="44"/>
      <c r="AW9" s="44"/>
    </row>
    <row r="10" customFormat="false" ht="15" hidden="false" customHeight="false" outlineLevel="0" collapsed="false">
      <c r="A10" s="45" t="s">
        <v>33</v>
      </c>
      <c r="B10" s="46" t="s">
        <v>34</v>
      </c>
      <c r="C10" s="47" t="s">
        <v>35</v>
      </c>
      <c r="D10" s="48" t="n">
        <v>42022</v>
      </c>
      <c r="E10" s="49"/>
      <c r="F10" s="50" t="n">
        <v>3</v>
      </c>
      <c r="G10" s="50" t="n">
        <v>10</v>
      </c>
      <c r="H10" s="51" t="n">
        <f aca="false">(F10*0.6+G10*0.4)</f>
        <v>5.8</v>
      </c>
      <c r="I10" s="52" t="str">
        <f aca="false">IF(H10&gt;10,"Validé","Non validé")</f>
        <v>Non validé</v>
      </c>
      <c r="J10" s="50" t="n">
        <v>11</v>
      </c>
      <c r="K10" s="50" t="n">
        <v>14</v>
      </c>
      <c r="L10" s="53" t="n">
        <f aca="false">J10*0.6+K10*0.4</f>
        <v>12.2</v>
      </c>
      <c r="M10" s="52" t="str">
        <f aca="false">IF(L10&gt;10,"Validé","Non validé")</f>
        <v>Validé</v>
      </c>
      <c r="N10" s="54" t="n">
        <v>14</v>
      </c>
      <c r="O10" s="54" t="n">
        <v>9.25</v>
      </c>
      <c r="P10" s="51" t="n">
        <f aca="false">N10*0.6+O10*0.4</f>
        <v>12.1</v>
      </c>
      <c r="Q10" s="55" t="str">
        <f aca="false">IF(P10&gt;10,"Validé","Non validé")</f>
        <v>Validé</v>
      </c>
      <c r="R10" s="56" t="n">
        <v>7.25</v>
      </c>
      <c r="S10" s="50" t="n">
        <v>13.625</v>
      </c>
      <c r="T10" s="51" t="n">
        <f aca="false">R10*0.6+S10*0.4</f>
        <v>9.8</v>
      </c>
      <c r="U10" s="57" t="str">
        <f aca="false">IF(T10&gt;10,"Validé","Non validé")</f>
        <v>Non validé</v>
      </c>
      <c r="V10" s="54" t="n">
        <v>7.5</v>
      </c>
      <c r="W10" s="54" t="n">
        <v>13</v>
      </c>
      <c r="X10" s="51" t="n">
        <f aca="false">(W10*0.4)+(V10*0.6)</f>
        <v>9.7</v>
      </c>
      <c r="Y10" s="58" t="str">
        <f aca="false">IF(X10&gt;10,"Validé","Non validé")</f>
        <v>Non validé</v>
      </c>
      <c r="Z10" s="54" t="n">
        <v>4.75</v>
      </c>
      <c r="AA10" s="54" t="n">
        <v>11.66</v>
      </c>
      <c r="AB10" s="53" t="n">
        <f aca="false">AA10*0.4+Z10*0.6</f>
        <v>7.514</v>
      </c>
      <c r="AC10" s="57" t="str">
        <f aca="false">IF(AB10&gt;10,"Validé","Non validé")</f>
        <v>Non validé</v>
      </c>
      <c r="AD10" s="54" t="n">
        <v>12.66</v>
      </c>
      <c r="AE10" s="54" t="n">
        <v>8.63</v>
      </c>
      <c r="AF10" s="51" t="n">
        <f aca="false">(AE10*0.4)+(AD10*0.6)</f>
        <v>11.048</v>
      </c>
      <c r="AG10" s="58" t="str">
        <f aca="false">IF(AF10&gt;10,"Validé","Non validé")</f>
        <v>Validé</v>
      </c>
      <c r="AH10" s="54" t="n">
        <v>13</v>
      </c>
      <c r="AI10" s="54" t="n">
        <v>12.5</v>
      </c>
      <c r="AJ10" s="51" t="n">
        <f aca="false">AI10*0.4+AH10*0.6</f>
        <v>12.8</v>
      </c>
      <c r="AK10" s="59" t="str">
        <f aca="false">IF(AJ10&gt;10,"Validé","Non validé")</f>
        <v>Validé</v>
      </c>
      <c r="AL10" s="54" t="n">
        <v>13</v>
      </c>
      <c r="AM10" s="54" t="n">
        <v>10.75</v>
      </c>
      <c r="AN10" s="51" t="n">
        <f aca="false">AM10*0.4+AL10*0.6</f>
        <v>12.1</v>
      </c>
      <c r="AO10" s="59" t="str">
        <f aca="false">IF(AN10&gt;10,"Validé","Non validé")</f>
        <v>Validé</v>
      </c>
      <c r="AP10" s="54" t="n">
        <v>3.5</v>
      </c>
      <c r="AQ10" s="54" t="n">
        <v>10.5</v>
      </c>
      <c r="AR10" s="51" t="n">
        <f aca="false">AQ10*0.4+AP10*0.6</f>
        <v>6.3</v>
      </c>
      <c r="AS10" s="60" t="str">
        <f aca="false">IF(AR10&gt;10,"Validé","Non validé")</f>
        <v>Non validé</v>
      </c>
      <c r="AT10" s="61" t="n">
        <f aca="false">ROUND(((AJ10+AF10+T10+P10+L10+H10)/9),2)</f>
        <v>7.08</v>
      </c>
      <c r="AU10" s="62" t="str">
        <f aca="false">IF(AT10&gt;10,"Admis","Ajourné")</f>
        <v>Ajourné</v>
      </c>
      <c r="AV10" s="63"/>
      <c r="AW10" s="63"/>
    </row>
    <row r="11" customFormat="false" ht="15" hidden="false" customHeight="false" outlineLevel="0" collapsed="false">
      <c r="A11" s="45" t="s">
        <v>36</v>
      </c>
      <c r="B11" s="46" t="s">
        <v>37</v>
      </c>
      <c r="C11" s="47" t="s">
        <v>35</v>
      </c>
      <c r="D11" s="48" t="n">
        <v>92022</v>
      </c>
      <c r="E11" s="49"/>
      <c r="F11" s="50" t="n">
        <v>9</v>
      </c>
      <c r="G11" s="50" t="n">
        <v>1</v>
      </c>
      <c r="H11" s="53" t="n">
        <f aca="false">(F11*0.6+G11*0.4)</f>
        <v>5.8</v>
      </c>
      <c r="I11" s="52" t="str">
        <f aca="false">IF(H11&gt;10,"Validé","Non validé")</f>
        <v>Non validé</v>
      </c>
      <c r="J11" s="50" t="n">
        <v>8</v>
      </c>
      <c r="K11" s="50" t="n">
        <v>14</v>
      </c>
      <c r="L11" s="53" t="n">
        <f aca="false">J11*0.6+K11*0.4</f>
        <v>10.4</v>
      </c>
      <c r="M11" s="52" t="str">
        <f aca="false">IF(L11&gt;10,"Validé","Non validé")</f>
        <v>Validé</v>
      </c>
      <c r="N11" s="54" t="n">
        <v>14</v>
      </c>
      <c r="O11" s="54" t="n">
        <v>9.75</v>
      </c>
      <c r="P11" s="51" t="n">
        <f aca="false">N11*0.6+O11*0.4</f>
        <v>12.3</v>
      </c>
      <c r="Q11" s="55" t="str">
        <f aca="false">IF(P11&gt;10,"Validé","Non validé")</f>
        <v>Validé</v>
      </c>
      <c r="R11" s="56" t="n">
        <v>11</v>
      </c>
      <c r="S11" s="50" t="n">
        <v>9.375</v>
      </c>
      <c r="T11" s="51" t="n">
        <f aca="false">R11*0.6+S11*0.4</f>
        <v>10.35</v>
      </c>
      <c r="U11" s="57" t="str">
        <f aca="false">IF(T11&gt;10,"Validé","Non validé")</f>
        <v>Validé</v>
      </c>
      <c r="V11" s="54" t="n">
        <v>11</v>
      </c>
      <c r="W11" s="54" t="n">
        <v>13</v>
      </c>
      <c r="X11" s="51" t="n">
        <f aca="false">(W11*0.4)+(V11*0.6)</f>
        <v>11.8</v>
      </c>
      <c r="Y11" s="58" t="str">
        <f aca="false">IF(X11&gt;10,"Validé","Non validé")</f>
        <v>Validé</v>
      </c>
      <c r="Z11" s="54" t="n">
        <v>6.5</v>
      </c>
      <c r="AA11" s="54" t="n">
        <v>9.33</v>
      </c>
      <c r="AB11" s="53" t="n">
        <f aca="false">AA11*0.4+Z11*0.6</f>
        <v>7.632</v>
      </c>
      <c r="AC11" s="57" t="str">
        <f aca="false">IF(AB11&gt;10,"Validé","Non validé")</f>
        <v>Non validé</v>
      </c>
      <c r="AD11" s="54" t="n">
        <v>12.33</v>
      </c>
      <c r="AE11" s="54" t="n">
        <v>8.3</v>
      </c>
      <c r="AF11" s="51" t="n">
        <f aca="false">(AE11*0.4)+(AD11*0.6)</f>
        <v>10.718</v>
      </c>
      <c r="AG11" s="58" t="str">
        <f aca="false">IF(AF11&gt;10,"Validé","Non validé")</f>
        <v>Validé</v>
      </c>
      <c r="AH11" s="54" t="n">
        <v>11</v>
      </c>
      <c r="AI11" s="54" t="n">
        <v>11</v>
      </c>
      <c r="AJ11" s="51" t="n">
        <f aca="false">AI11*0.4+AH11*0.6</f>
        <v>11</v>
      </c>
      <c r="AK11" s="59" t="str">
        <f aca="false">IF(AJ11&gt;10,"Validé","Non validé")</f>
        <v>Validé</v>
      </c>
      <c r="AL11" s="54" t="n">
        <v>17</v>
      </c>
      <c r="AM11" s="54" t="n">
        <v>14.25</v>
      </c>
      <c r="AN11" s="51" t="n">
        <f aca="false">AM11*0.4+AL11*0.6</f>
        <v>15.9</v>
      </c>
      <c r="AO11" s="59" t="str">
        <f aca="false">IF(AN11&gt;10,"Validé","Non validé")</f>
        <v>Validé</v>
      </c>
      <c r="AP11" s="54" t="n">
        <v>3</v>
      </c>
      <c r="AQ11" s="54" t="n">
        <v>11.5</v>
      </c>
      <c r="AR11" s="51" t="n">
        <f aca="false">AQ11*0.4+AP11*0.6</f>
        <v>6.4</v>
      </c>
      <c r="AS11" s="60" t="str">
        <f aca="false">IF(AR11&gt;10,"Validé","Non validé")</f>
        <v>Non validé</v>
      </c>
      <c r="AT11" s="61" t="n">
        <f aca="false">ROUND(((AJ11+AF11+T11+P11+L11+H11)/9),2)</f>
        <v>6.73</v>
      </c>
      <c r="AU11" s="62" t="str">
        <f aca="false">IF(AT11&gt;10,"Admis","Ajourné")</f>
        <v>Ajourné</v>
      </c>
      <c r="AV11" s="63"/>
      <c r="AW11" s="63"/>
    </row>
    <row r="12" customFormat="false" ht="15" hidden="false" customHeight="false" outlineLevel="0" collapsed="false">
      <c r="A12" s="45" t="s">
        <v>38</v>
      </c>
      <c r="B12" s="46" t="s">
        <v>39</v>
      </c>
      <c r="C12" s="47" t="s">
        <v>35</v>
      </c>
      <c r="D12" s="48" t="n">
        <v>102022</v>
      </c>
      <c r="E12" s="49"/>
      <c r="F12" s="50" t="n">
        <v>18</v>
      </c>
      <c r="G12" s="50" t="n">
        <v>11</v>
      </c>
      <c r="H12" s="51" t="n">
        <f aca="false">(F12*0.6+G12*0.4)</f>
        <v>15.2</v>
      </c>
      <c r="I12" s="52" t="str">
        <f aca="false">IF(H12&gt;10,"Validé","Non validé")</f>
        <v>Validé</v>
      </c>
      <c r="J12" s="50" t="n">
        <v>15.75</v>
      </c>
      <c r="K12" s="50" t="n">
        <v>14</v>
      </c>
      <c r="L12" s="53" t="n">
        <f aca="false">J12*0.6+K12*0.4</f>
        <v>15.05</v>
      </c>
      <c r="M12" s="52" t="str">
        <f aca="false">IF(L12&gt;10,"Validé","Non validé")</f>
        <v>Validé</v>
      </c>
      <c r="N12" s="54" t="n">
        <v>14</v>
      </c>
      <c r="O12" s="54" t="n">
        <v>7</v>
      </c>
      <c r="P12" s="51" t="n">
        <f aca="false">N12*0.6+O12*0.4</f>
        <v>11.2</v>
      </c>
      <c r="Q12" s="55" t="str">
        <f aca="false">IF(P12&gt;10,"Validé","Non validé")</f>
        <v>Validé</v>
      </c>
      <c r="R12" s="56" t="n">
        <v>6.75</v>
      </c>
      <c r="S12" s="64" t="n">
        <v>17.625</v>
      </c>
      <c r="T12" s="51" t="n">
        <f aca="false">R12*0.6+S12*0.4</f>
        <v>11.1</v>
      </c>
      <c r="U12" s="57" t="str">
        <f aca="false">IF(T12&gt;10,"Validé","Non validé")</f>
        <v>Validé</v>
      </c>
      <c r="V12" s="54" t="n">
        <v>6.5</v>
      </c>
      <c r="W12" s="54" t="n">
        <v>13</v>
      </c>
      <c r="X12" s="51" t="n">
        <f aca="false">(W12*0.4)+(V12*0.6)</f>
        <v>9.1</v>
      </c>
      <c r="Y12" s="58" t="str">
        <f aca="false">IF(X12&gt;10,"Validé","Non validé")</f>
        <v>Non validé</v>
      </c>
      <c r="Z12" s="54" t="n">
        <v>12</v>
      </c>
      <c r="AA12" s="54" t="n">
        <v>14.16</v>
      </c>
      <c r="AB12" s="53" t="n">
        <f aca="false">AA12*0.4+Z12*0.6</f>
        <v>12.864</v>
      </c>
      <c r="AC12" s="57" t="str">
        <f aca="false">IF(AB12&gt;10,"Validé","Non validé")</f>
        <v>Validé</v>
      </c>
      <c r="AD12" s="54" t="n">
        <v>13.66</v>
      </c>
      <c r="AE12" s="54" t="n">
        <v>8.88</v>
      </c>
      <c r="AF12" s="51" t="n">
        <f aca="false">(AE12*0.4)+(AD12*0.6)</f>
        <v>11.748</v>
      </c>
      <c r="AG12" s="58" t="str">
        <f aca="false">IF(AF12&gt;10,"Validé","Non validé")</f>
        <v>Validé</v>
      </c>
      <c r="AH12" s="54" t="n">
        <v>12</v>
      </c>
      <c r="AI12" s="54" t="n">
        <v>14.5</v>
      </c>
      <c r="AJ12" s="51" t="n">
        <f aca="false">AI12*0.4+AH12*0.6</f>
        <v>13</v>
      </c>
      <c r="AK12" s="59" t="str">
        <f aca="false">IF(AJ12&gt;10,"Validé","Non validé")</f>
        <v>Validé</v>
      </c>
      <c r="AL12" s="54" t="n">
        <v>13</v>
      </c>
      <c r="AM12" s="54" t="n">
        <v>11</v>
      </c>
      <c r="AN12" s="51" t="n">
        <f aca="false">AM12*0.4+AL12*0.6</f>
        <v>12.2</v>
      </c>
      <c r="AO12" s="59" t="str">
        <f aca="false">IF(AN12&gt;10,"Validé","Non validé")</f>
        <v>Validé</v>
      </c>
      <c r="AP12" s="54" t="n">
        <v>3.5</v>
      </c>
      <c r="AQ12" s="54" t="n">
        <v>12.75</v>
      </c>
      <c r="AR12" s="51" t="n">
        <f aca="false">AQ12*0.4+AP12*0.6</f>
        <v>7.2</v>
      </c>
      <c r="AS12" s="60" t="str">
        <f aca="false">IF(AR12&gt;10,"Validé","Non validé")</f>
        <v>Non validé</v>
      </c>
      <c r="AT12" s="61" t="n">
        <f aca="false">ROUND(((AJ12+AF12+T12+P12+L12+H12)/9),2)</f>
        <v>8.59</v>
      </c>
      <c r="AU12" s="62" t="str">
        <f aca="false">IF(AT12&gt;10,"Admis","Ajourné")</f>
        <v>Ajourné</v>
      </c>
      <c r="AV12" s="63"/>
      <c r="AW12" s="63"/>
    </row>
    <row r="13" customFormat="false" ht="15" hidden="false" customHeight="false" outlineLevel="0" collapsed="false">
      <c r="A13" s="45" t="s">
        <v>40</v>
      </c>
      <c r="B13" s="46" t="s">
        <v>41</v>
      </c>
      <c r="C13" s="47" t="s">
        <v>35</v>
      </c>
      <c r="D13" s="48" t="n">
        <v>152022</v>
      </c>
      <c r="E13" s="49"/>
      <c r="F13" s="50" t="n">
        <v>5</v>
      </c>
      <c r="G13" s="50" t="n">
        <v>10</v>
      </c>
      <c r="H13" s="51" t="n">
        <f aca="false">(F13*0.6+G13*0.4)</f>
        <v>7</v>
      </c>
      <c r="I13" s="52" t="str">
        <f aca="false">IF(H13&gt;10,"Validé","Non validé")</f>
        <v>Non validé</v>
      </c>
      <c r="J13" s="50" t="n">
        <v>12.5</v>
      </c>
      <c r="K13" s="50" t="n">
        <v>14</v>
      </c>
      <c r="L13" s="53" t="n">
        <f aca="false">J13*0.6+K13*0.4</f>
        <v>13.1</v>
      </c>
      <c r="M13" s="52" t="str">
        <f aca="false">IF(L13&gt;10,"Validé","Non validé")</f>
        <v>Validé</v>
      </c>
      <c r="N13" s="54" t="n">
        <v>12</v>
      </c>
      <c r="O13" s="54" t="n">
        <v>7.5</v>
      </c>
      <c r="P13" s="51" t="n">
        <f aca="false">N13*0.6+O13*0.4</f>
        <v>10.2</v>
      </c>
      <c r="Q13" s="55" t="str">
        <f aca="false">IF(P13&gt;10,"Validé","Non validé")</f>
        <v>Validé</v>
      </c>
      <c r="R13" s="54" t="n">
        <v>9.75</v>
      </c>
      <c r="S13" s="64" t="n">
        <v>15.625</v>
      </c>
      <c r="T13" s="51" t="n">
        <f aca="false">R13*0.6+S13*0.4</f>
        <v>12.1</v>
      </c>
      <c r="U13" s="57" t="str">
        <f aca="false">IF(T13&gt;10,"Validé","Non validé")</f>
        <v>Validé</v>
      </c>
      <c r="V13" s="54" t="n">
        <v>12.75</v>
      </c>
      <c r="W13" s="54" t="n">
        <v>13</v>
      </c>
      <c r="X13" s="51" t="n">
        <f aca="false">(W13*0.4)+(V13*0.6)</f>
        <v>12.85</v>
      </c>
      <c r="Y13" s="58" t="str">
        <f aca="false">IF(X13&gt;10,"Validé","Non validé")</f>
        <v>Validé</v>
      </c>
      <c r="Z13" s="54" t="n">
        <v>11</v>
      </c>
      <c r="AA13" s="54" t="n">
        <v>11.41</v>
      </c>
      <c r="AB13" s="53" t="n">
        <f aca="false">AA13*0.4+Z13*0.6</f>
        <v>11.164</v>
      </c>
      <c r="AC13" s="57" t="str">
        <f aca="false">IF(AB13&gt;10,"Validé","Non validé")</f>
        <v>Validé</v>
      </c>
      <c r="AD13" s="54" t="n">
        <v>13.83</v>
      </c>
      <c r="AE13" s="54" t="n">
        <v>9.96</v>
      </c>
      <c r="AF13" s="51" t="n">
        <f aca="false">(AE13*0.4)+(AD13*0.6)</f>
        <v>12.282</v>
      </c>
      <c r="AG13" s="58" t="str">
        <f aca="false">IF(AF13&gt;10,"Validé","Non validé")</f>
        <v>Validé</v>
      </c>
      <c r="AH13" s="54" t="n">
        <v>7.5</v>
      </c>
      <c r="AI13" s="54" t="n">
        <v>12</v>
      </c>
      <c r="AJ13" s="51" t="n">
        <f aca="false">AI13*0.4+AH13*0.6</f>
        <v>9.3</v>
      </c>
      <c r="AK13" s="59" t="str">
        <f aca="false">IF(AJ13&gt;10,"Validé","Non validé")</f>
        <v>Non validé</v>
      </c>
      <c r="AL13" s="54" t="n">
        <v>15</v>
      </c>
      <c r="AM13" s="54" t="n">
        <v>13</v>
      </c>
      <c r="AN13" s="51" t="n">
        <f aca="false">AM13*0.4+AL13*0.6</f>
        <v>14.2</v>
      </c>
      <c r="AO13" s="59" t="str">
        <f aca="false">IF(AN13&gt;10,"Validé","Non validé")</f>
        <v>Validé</v>
      </c>
      <c r="AP13" s="54" t="n">
        <v>1</v>
      </c>
      <c r="AQ13" s="54" t="n">
        <v>9.25</v>
      </c>
      <c r="AR13" s="51" t="n">
        <f aca="false">AQ13*0.4+AP13*0.6</f>
        <v>4.3</v>
      </c>
      <c r="AS13" s="60" t="str">
        <f aca="false">IF(AR13&gt;10,"Validé","Non validé")</f>
        <v>Non validé</v>
      </c>
      <c r="AT13" s="61" t="n">
        <f aca="false">ROUND(((AJ13+AF13+T13+P13+L13+H13)/9),2)</f>
        <v>7.11</v>
      </c>
      <c r="AU13" s="62" t="str">
        <f aca="false">IF(AT13&gt;10,"Admis","Ajourné")</f>
        <v>Ajourné</v>
      </c>
      <c r="AV13" s="63"/>
      <c r="AW13" s="63"/>
    </row>
    <row r="14" customFormat="false" ht="15" hidden="false" customHeight="false" outlineLevel="0" collapsed="false">
      <c r="A14" s="45" t="s">
        <v>42</v>
      </c>
      <c r="B14" s="46" t="s">
        <v>43</v>
      </c>
      <c r="C14" s="47" t="s">
        <v>35</v>
      </c>
      <c r="D14" s="48" t="n">
        <v>342024</v>
      </c>
      <c r="E14" s="49"/>
      <c r="F14" s="50" t="n">
        <v>0</v>
      </c>
      <c r="G14" s="50" t="n">
        <v>4</v>
      </c>
      <c r="H14" s="51" t="n">
        <f aca="false">(F14*0.6+G14*0.4)</f>
        <v>1.6</v>
      </c>
      <c r="I14" s="52" t="str">
        <f aca="false">IF(H14&gt;10,"Validé","Non validé")</f>
        <v>Non validé</v>
      </c>
      <c r="J14" s="50" t="n">
        <v>9.5</v>
      </c>
      <c r="K14" s="50" t="n">
        <v>14</v>
      </c>
      <c r="L14" s="53" t="n">
        <f aca="false">J14*0.6+K14*0.4</f>
        <v>11.3</v>
      </c>
      <c r="M14" s="52" t="str">
        <f aca="false">IF(L14&gt;10,"Validé","Non validé")</f>
        <v>Validé</v>
      </c>
      <c r="N14" s="54" t="n">
        <v>12</v>
      </c>
      <c r="O14" s="54" t="n">
        <v>8.5</v>
      </c>
      <c r="P14" s="51" t="n">
        <f aca="false">N14*0.6+O14*0.4</f>
        <v>10.6</v>
      </c>
      <c r="Q14" s="55" t="str">
        <f aca="false">IF(P14&gt;10,"Validé","Non validé")</f>
        <v>Validé</v>
      </c>
      <c r="R14" s="54" t="n">
        <v>11</v>
      </c>
      <c r="S14" s="65" t="n">
        <v>15.25</v>
      </c>
      <c r="T14" s="51" t="n">
        <f aca="false">R14*0.6+S14*0.4</f>
        <v>12.7</v>
      </c>
      <c r="U14" s="57" t="str">
        <f aca="false">IF(T14&gt;10,"Validé","Non validé")</f>
        <v>Validé</v>
      </c>
      <c r="V14" s="54" t="n">
        <v>13.75</v>
      </c>
      <c r="W14" s="54" t="n">
        <v>13</v>
      </c>
      <c r="X14" s="51" t="n">
        <f aca="false">(W14*0.4)+(V14*0.6)</f>
        <v>13.45</v>
      </c>
      <c r="Y14" s="58" t="str">
        <f aca="false">IF(X14&gt;10,"Validé","Non validé")</f>
        <v>Validé</v>
      </c>
      <c r="Z14" s="54" t="n">
        <v>6.25</v>
      </c>
      <c r="AA14" s="54" t="n">
        <v>8.66</v>
      </c>
      <c r="AB14" s="53" t="n">
        <f aca="false">AA14*0.4+Z14*0.6</f>
        <v>7.214</v>
      </c>
      <c r="AC14" s="57" t="str">
        <f aca="false">IF(AB14&gt;10,"Validé","Non validé")</f>
        <v>Non validé</v>
      </c>
      <c r="AD14" s="54" t="n">
        <v>14.16</v>
      </c>
      <c r="AE14" s="54" t="n">
        <v>8.42</v>
      </c>
      <c r="AF14" s="51" t="n">
        <f aca="false">(AE14*0.4)+(AD14*0.6)</f>
        <v>11.864</v>
      </c>
      <c r="AG14" s="58" t="str">
        <f aca="false">IF(AF14&gt;10,"Validé","Non validé")</f>
        <v>Validé</v>
      </c>
      <c r="AH14" s="54" t="n">
        <v>11.5</v>
      </c>
      <c r="AI14" s="54" t="n">
        <v>8.5</v>
      </c>
      <c r="AJ14" s="51" t="n">
        <f aca="false">AI14*0.4+AH14*0.6</f>
        <v>10.3</v>
      </c>
      <c r="AK14" s="59" t="str">
        <f aca="false">IF(AJ14&gt;10,"Validé","Non validé")</f>
        <v>Validé</v>
      </c>
      <c r="AL14" s="54" t="n">
        <v>17</v>
      </c>
      <c r="AM14" s="54" t="n">
        <v>16.75</v>
      </c>
      <c r="AN14" s="51" t="n">
        <f aca="false">AM14*0.4+AL14*0.6</f>
        <v>16.9</v>
      </c>
      <c r="AO14" s="59" t="str">
        <f aca="false">IF(AN14&gt;10,"Validé","Non validé")</f>
        <v>Validé</v>
      </c>
      <c r="AP14" s="54" t="n">
        <v>1.5</v>
      </c>
      <c r="AQ14" s="54" t="n">
        <v>13.75</v>
      </c>
      <c r="AR14" s="51" t="n">
        <f aca="false">AQ14*0.4+AP14*0.6</f>
        <v>6.4</v>
      </c>
      <c r="AS14" s="60" t="str">
        <f aca="false">IF(AR14&gt;10,"Validé","Non validé")</f>
        <v>Non validé</v>
      </c>
      <c r="AT14" s="61" t="n">
        <f aca="false">ROUND(((AJ14+AF14+T14+P14+L14+H14)/9),2)</f>
        <v>6.48</v>
      </c>
      <c r="AU14" s="62" t="str">
        <f aca="false">IF(AT14&gt;10,"Admis","Ajourné")</f>
        <v>Ajourné</v>
      </c>
      <c r="AV14" s="63"/>
      <c r="AW14" s="63"/>
    </row>
    <row r="15" customFormat="false" ht="15" hidden="false" customHeight="false" outlineLevel="0" collapsed="false">
      <c r="A15" s="45" t="s">
        <v>44</v>
      </c>
      <c r="B15" s="46" t="s">
        <v>45</v>
      </c>
      <c r="C15" s="47" t="s">
        <v>35</v>
      </c>
      <c r="D15" s="48" t="n">
        <v>232022</v>
      </c>
      <c r="E15" s="49"/>
      <c r="F15" s="50" t="n">
        <v>5</v>
      </c>
      <c r="G15" s="50" t="n">
        <v>6.67</v>
      </c>
      <c r="H15" s="51" t="n">
        <f aca="false">(F15*0.6+G15*0.4)</f>
        <v>5.668</v>
      </c>
      <c r="I15" s="52" t="str">
        <f aca="false">IF(H15&gt;10,"Validé","Non validé")</f>
        <v>Non validé</v>
      </c>
      <c r="J15" s="50" t="n">
        <v>4</v>
      </c>
      <c r="K15" s="50" t="n">
        <v>14</v>
      </c>
      <c r="L15" s="53" t="n">
        <f aca="false">J15*0.6+K15*0.4</f>
        <v>8</v>
      </c>
      <c r="M15" s="52" t="str">
        <f aca="false">IF(L15&gt;10,"Validé","Non validé")</f>
        <v>Non validé</v>
      </c>
      <c r="N15" s="54" t="n">
        <v>12</v>
      </c>
      <c r="O15" s="54" t="n">
        <v>9</v>
      </c>
      <c r="P15" s="51" t="n">
        <f aca="false">N15*0.6+O15*0.4</f>
        <v>10.8</v>
      </c>
      <c r="Q15" s="55" t="str">
        <f aca="false">IF(P15&gt;10,"Validé","Non validé")</f>
        <v>Validé</v>
      </c>
      <c r="R15" s="54" t="n">
        <v>3</v>
      </c>
      <c r="S15" s="65" t="n">
        <v>8.375</v>
      </c>
      <c r="T15" s="51" t="n">
        <f aca="false">R15*0.6+S15*0.4</f>
        <v>5.15</v>
      </c>
      <c r="U15" s="57" t="str">
        <f aca="false">IF(T15&gt;10,"Validé","Non validé")</f>
        <v>Non validé</v>
      </c>
      <c r="V15" s="54" t="n">
        <v>10</v>
      </c>
      <c r="W15" s="54" t="n">
        <v>13</v>
      </c>
      <c r="X15" s="51" t="n">
        <f aca="false">(W15*0.4)+(V15*0.6)</f>
        <v>11.2</v>
      </c>
      <c r="Y15" s="58" t="str">
        <f aca="false">IF(X15&gt;10,"Validé","Non validé")</f>
        <v>Validé</v>
      </c>
      <c r="Z15" s="54" t="n">
        <v>5.5</v>
      </c>
      <c r="AA15" s="54" t="n">
        <v>7.66</v>
      </c>
      <c r="AB15" s="53" t="n">
        <f aca="false">AA15*0.4+Z15*0.6</f>
        <v>6.364</v>
      </c>
      <c r="AC15" s="57" t="str">
        <f aca="false">IF(AB15&gt;10,"Validé","Non validé")</f>
        <v>Non validé</v>
      </c>
      <c r="AD15" s="54" t="n">
        <v>12.83</v>
      </c>
      <c r="AE15" s="54" t="n">
        <v>5.88</v>
      </c>
      <c r="AF15" s="51" t="n">
        <f aca="false">(AE15*0.4)+(AD15*0.6)</f>
        <v>10.05</v>
      </c>
      <c r="AG15" s="58" t="str">
        <f aca="false">IF(AF15&gt;10,"Validé","Non validé")</f>
        <v>Validé</v>
      </c>
      <c r="AH15" s="54" t="n">
        <v>11.5</v>
      </c>
      <c r="AI15" s="54" t="n">
        <v>13.25</v>
      </c>
      <c r="AJ15" s="51" t="n">
        <f aca="false">AI15*0.4+AH15*0.6</f>
        <v>12.2</v>
      </c>
      <c r="AK15" s="59" t="str">
        <f aca="false">IF(AJ15&gt;10,"Validé","Non validé")</f>
        <v>Validé</v>
      </c>
      <c r="AL15" s="54" t="n">
        <v>17</v>
      </c>
      <c r="AM15" s="54" t="n">
        <v>12</v>
      </c>
      <c r="AN15" s="51" t="n">
        <f aca="false">AM15*0.4+AL15*0.6</f>
        <v>15</v>
      </c>
      <c r="AO15" s="59" t="str">
        <f aca="false">IF(AN15&gt;10,"Validé","Non validé")</f>
        <v>Validé</v>
      </c>
      <c r="AP15" s="54" t="n">
        <v>1.75</v>
      </c>
      <c r="AQ15" s="54" t="n">
        <v>11.75</v>
      </c>
      <c r="AR15" s="51" t="n">
        <f aca="false">AQ15*0.4+AP15*0.6</f>
        <v>5.75</v>
      </c>
      <c r="AS15" s="60" t="str">
        <f aca="false">IF(AR15&gt;10,"Validé","Non validé")</f>
        <v>Non validé</v>
      </c>
      <c r="AT15" s="61" t="n">
        <f aca="false">ROUND(((AJ15+AF15+T15+P15+L15+H15)/9),2)</f>
        <v>5.76</v>
      </c>
      <c r="AU15" s="62" t="str">
        <f aca="false">IF(AT15&gt;10,"Admis","Ajourné")</f>
        <v>Ajourné</v>
      </c>
      <c r="AV15" s="63"/>
      <c r="AW15" s="63"/>
    </row>
    <row r="16" customFormat="false" ht="21" hidden="true" customHeight="true" outlineLevel="0" collapsed="false">
      <c r="A16" s="45"/>
      <c r="B16" s="66" t="s">
        <v>46</v>
      </c>
      <c r="C16" s="67" t="s">
        <v>35</v>
      </c>
      <c r="D16" s="68" t="n">
        <v>252022</v>
      </c>
      <c r="E16" s="69"/>
      <c r="F16" s="50"/>
      <c r="G16" s="50"/>
      <c r="H16" s="70" t="n">
        <f aca="false">(F16*0.6+G16*0.4)</f>
        <v>0</v>
      </c>
      <c r="I16" s="52" t="str">
        <f aca="false">IF(H16&gt;10,"Validé","Non validé")</f>
        <v>Non validé</v>
      </c>
      <c r="J16" s="50"/>
      <c r="K16" s="50"/>
      <c r="L16" s="71" t="n">
        <f aca="false">J16*0.6+K16*0.4</f>
        <v>0</v>
      </c>
      <c r="M16" s="52" t="str">
        <f aca="false">IF(L16&gt;10,"Validé","Non validé")</f>
        <v>Non validé</v>
      </c>
      <c r="N16" s="54"/>
      <c r="O16" s="54"/>
      <c r="P16" s="70" t="n">
        <f aca="false">N16*0.6+O16*0.4</f>
        <v>0</v>
      </c>
      <c r="Q16" s="58" t="str">
        <f aca="false">IF(P16&gt;10,"Validé","Non validé")</f>
        <v>Non validé</v>
      </c>
      <c r="R16" s="54"/>
      <c r="S16" s="50"/>
      <c r="T16" s="70" t="n">
        <f aca="false">R16*0.6+S16*0.4</f>
        <v>0</v>
      </c>
      <c r="U16" s="58" t="str">
        <f aca="false">IF(T16&gt;10,"Validé","Non validé")</f>
        <v>Non validé</v>
      </c>
      <c r="V16" s="54"/>
      <c r="W16" s="54"/>
      <c r="X16" s="70" t="n">
        <f aca="false">(W16*0.4)+(V16*0.6)</f>
        <v>0</v>
      </c>
      <c r="Y16" s="58" t="str">
        <f aca="false">IF(X16&gt;10,"Validé","Non validé")</f>
        <v>Non validé</v>
      </c>
      <c r="Z16" s="54"/>
      <c r="AA16" s="54"/>
      <c r="AB16" s="70" t="n">
        <f aca="false">AA16*0.4+Z16*0.6</f>
        <v>0</v>
      </c>
      <c r="AC16" s="58" t="str">
        <f aca="false">IF(AB16&gt;10,"Validé","Non validé")</f>
        <v>Non validé</v>
      </c>
      <c r="AD16" s="54"/>
      <c r="AE16" s="54"/>
      <c r="AF16" s="70" t="n">
        <f aca="false">(AE16*0.4)+(AD16*0.6)</f>
        <v>0</v>
      </c>
      <c r="AG16" s="58" t="str">
        <f aca="false">IF(AF16&gt;10,"Validé","Non validé")</f>
        <v>Non validé</v>
      </c>
      <c r="AH16" s="54"/>
      <c r="AI16" s="54"/>
      <c r="AJ16" s="70" t="n">
        <f aca="false">AI16*0.4+AH16*0.6</f>
        <v>0</v>
      </c>
      <c r="AK16" s="58" t="str">
        <f aca="false">IF(AJ16&gt;10,"Validé","Non validé")</f>
        <v>Non validé</v>
      </c>
      <c r="AL16" s="54"/>
      <c r="AM16" s="54"/>
      <c r="AN16" s="70" t="n">
        <f aca="false">AM16*0.4+AL16*0.6</f>
        <v>0</v>
      </c>
      <c r="AO16" s="58" t="str">
        <f aca="false">IF(AN16&gt;10,"Validé","Non validé")</f>
        <v>Non validé</v>
      </c>
      <c r="AP16" s="54"/>
      <c r="AQ16" s="54"/>
      <c r="AR16" s="70" t="n">
        <f aca="false">AQ16*0.4+AP16*0.6</f>
        <v>0</v>
      </c>
      <c r="AS16" s="57" t="str">
        <f aca="false">IF(AR16&gt;10,"Validé","Non validé")</f>
        <v>Non validé</v>
      </c>
      <c r="AT16" s="72" t="n">
        <f aca="false">ROUND(((AJ16+AF16+T16+P16+L16+H16)/9),2)</f>
        <v>0</v>
      </c>
      <c r="AU16" s="73" t="str">
        <f aca="false">IF(AT16&gt;10,"Admis","Ajourné")</f>
        <v>Ajourné</v>
      </c>
      <c r="AV16" s="74"/>
      <c r="AW16" s="63"/>
    </row>
    <row r="17" customFormat="false" ht="18.75" hidden="true" customHeight="true" outlineLevel="0" collapsed="false">
      <c r="A17" s="45"/>
      <c r="B17" s="66" t="s">
        <v>47</v>
      </c>
      <c r="C17" s="67" t="s">
        <v>35</v>
      </c>
      <c r="D17" s="68" t="n">
        <v>312022</v>
      </c>
      <c r="E17" s="69"/>
      <c r="F17" s="50"/>
      <c r="G17" s="50"/>
      <c r="H17" s="70" t="n">
        <f aca="false">(F17*0.6+G17*0.4)</f>
        <v>0</v>
      </c>
      <c r="I17" s="52" t="str">
        <f aca="false">IF(H17&gt;10,"Validé","Non validé")</f>
        <v>Non validé</v>
      </c>
      <c r="J17" s="50"/>
      <c r="K17" s="50"/>
      <c r="L17" s="71" t="n">
        <f aca="false">J17*0.6+K17*0.4</f>
        <v>0</v>
      </c>
      <c r="M17" s="52" t="str">
        <f aca="false">IF(L17&gt;10,"Validé","Non validé")</f>
        <v>Non validé</v>
      </c>
      <c r="N17" s="54"/>
      <c r="O17" s="54"/>
      <c r="P17" s="70" t="n">
        <f aca="false">N17*0.6+O17*0.4</f>
        <v>0</v>
      </c>
      <c r="Q17" s="58" t="str">
        <f aca="false">IF(P17&gt;10,"Validé","Non validé")</f>
        <v>Non validé</v>
      </c>
      <c r="R17" s="54"/>
      <c r="S17" s="50"/>
      <c r="T17" s="70" t="n">
        <f aca="false">R17*0.6+S17*0.4</f>
        <v>0</v>
      </c>
      <c r="U17" s="58" t="str">
        <f aca="false">IF(T17&gt;10,"Validé","Non validé")</f>
        <v>Non validé</v>
      </c>
      <c r="V17" s="54"/>
      <c r="W17" s="54"/>
      <c r="X17" s="70" t="n">
        <f aca="false">(W17*0.4)+(V17*0.6)</f>
        <v>0</v>
      </c>
      <c r="Y17" s="58" t="str">
        <f aca="false">IF(X17&gt;10,"Validé","Non validé")</f>
        <v>Non validé</v>
      </c>
      <c r="Z17" s="54"/>
      <c r="AA17" s="54"/>
      <c r="AB17" s="70" t="n">
        <f aca="false">AA17*0.4+Z17*0.6</f>
        <v>0</v>
      </c>
      <c r="AC17" s="58" t="str">
        <f aca="false">IF(AB17&gt;10,"Validé","Non validé")</f>
        <v>Non validé</v>
      </c>
      <c r="AD17" s="54"/>
      <c r="AE17" s="54"/>
      <c r="AF17" s="70" t="n">
        <f aca="false">(AE17*0.4)+(AD17*0.6)</f>
        <v>0</v>
      </c>
      <c r="AG17" s="58" t="str">
        <f aca="false">IF(AF17&gt;10,"Validé","Non validé")</f>
        <v>Non validé</v>
      </c>
      <c r="AH17" s="54"/>
      <c r="AI17" s="54"/>
      <c r="AJ17" s="70" t="n">
        <f aca="false">AI17*0.4+AH17*0.6</f>
        <v>0</v>
      </c>
      <c r="AK17" s="58" t="str">
        <f aca="false">IF(AJ17&gt;10,"Validé","Non validé")</f>
        <v>Non validé</v>
      </c>
      <c r="AL17" s="54"/>
      <c r="AM17" s="54"/>
      <c r="AN17" s="70" t="n">
        <f aca="false">AM17*0.4+AL17*0.6</f>
        <v>0</v>
      </c>
      <c r="AO17" s="58" t="str">
        <f aca="false">IF(AN17&gt;10,"Validé","Non validé")</f>
        <v>Non validé</v>
      </c>
      <c r="AP17" s="54"/>
      <c r="AQ17" s="54"/>
      <c r="AR17" s="70" t="n">
        <f aca="false">AQ17*0.4+AP17*0.6</f>
        <v>0</v>
      </c>
      <c r="AS17" s="57" t="str">
        <f aca="false">IF(AR17&gt;10,"Validé","Non validé")</f>
        <v>Non validé</v>
      </c>
      <c r="AT17" s="72" t="n">
        <f aca="false">ROUND(((AJ17+AF17+T17+P17+L17+H17)/9),2)</f>
        <v>0</v>
      </c>
      <c r="AU17" s="73" t="str">
        <f aca="false">IF(AT17&gt;10,"Admis","Ajourné")</f>
        <v>Ajourné</v>
      </c>
      <c r="AV17" s="75"/>
      <c r="AW17" s="75"/>
    </row>
    <row r="18" customFormat="false" ht="15" hidden="true" customHeight="true" outlineLevel="0" collapsed="false">
      <c r="A18" s="76" t="s">
        <v>32</v>
      </c>
      <c r="B18" s="76"/>
      <c r="C18" s="76"/>
      <c r="D18" s="76"/>
      <c r="E18" s="76"/>
      <c r="F18" s="76"/>
      <c r="G18" s="76"/>
      <c r="H18" s="76"/>
      <c r="I18" s="76"/>
      <c r="J18" s="76"/>
      <c r="K18" s="76"/>
      <c r="L18" s="76"/>
      <c r="M18" s="76"/>
      <c r="N18" s="76"/>
      <c r="O18" s="76"/>
      <c r="P18" s="76"/>
      <c r="Q18" s="76"/>
      <c r="R18" s="76"/>
      <c r="S18" s="76"/>
      <c r="T18" s="76"/>
      <c r="U18" s="76"/>
      <c r="V18" s="76"/>
      <c r="W18" s="76"/>
      <c r="X18" s="76"/>
      <c r="Y18" s="76"/>
      <c r="Z18" s="76"/>
      <c r="AA18" s="76"/>
      <c r="AB18" s="76"/>
      <c r="AC18" s="76"/>
      <c r="AD18" s="76"/>
      <c r="AE18" s="76"/>
      <c r="AF18" s="76"/>
      <c r="AG18" s="76"/>
      <c r="AH18" s="76"/>
      <c r="AI18" s="76"/>
      <c r="AJ18" s="76"/>
      <c r="AK18" s="76"/>
      <c r="AL18" s="76"/>
      <c r="AM18" s="76"/>
      <c r="AN18" s="76"/>
      <c r="AO18" s="76"/>
      <c r="AP18" s="76"/>
      <c r="AQ18" s="76"/>
      <c r="AR18" s="76"/>
      <c r="AS18" s="76"/>
      <c r="AT18" s="76"/>
      <c r="AU18" s="76"/>
    </row>
    <row r="19" customFormat="false" ht="16.5" hidden="false" customHeight="true" outlineLevel="0" collapsed="false">
      <c r="A19" s="77" t="s">
        <v>48</v>
      </c>
      <c r="B19" s="77"/>
      <c r="C19" s="77"/>
      <c r="D19" s="77"/>
      <c r="E19" s="77"/>
      <c r="F19" s="78"/>
      <c r="G19" s="78"/>
      <c r="H19" s="79" t="n">
        <f aca="false">AVERAGE(H10:H17)</f>
        <v>5.1335</v>
      </c>
      <c r="I19" s="80"/>
      <c r="J19" s="81"/>
      <c r="K19" s="81"/>
      <c r="L19" s="79" t="n">
        <f aca="false">AVERAGE(L10:L17)</f>
        <v>8.75625</v>
      </c>
      <c r="M19" s="80"/>
      <c r="N19" s="80"/>
      <c r="O19" s="80"/>
      <c r="P19" s="79" t="n">
        <f aca="false">AVERAGE(P10:P17)</f>
        <v>8.4</v>
      </c>
      <c r="Q19" s="80"/>
      <c r="R19" s="80"/>
      <c r="S19" s="80"/>
      <c r="T19" s="79" t="n">
        <f aca="false">AVERAGE(T10:T17)</f>
        <v>7.65</v>
      </c>
      <c r="U19" s="80"/>
      <c r="V19" s="80"/>
      <c r="W19" s="80"/>
      <c r="X19" s="79" t="n">
        <f aca="false">AVERAGE(X10:X17)</f>
        <v>8.5125</v>
      </c>
      <c r="Y19" s="80"/>
      <c r="Z19" s="80"/>
      <c r="AA19" s="80"/>
      <c r="AB19" s="79" t="n">
        <f aca="false">SUM(AB10:AB17)</f>
        <v>52.752</v>
      </c>
      <c r="AC19" s="80"/>
      <c r="AD19" s="80"/>
      <c r="AE19" s="80"/>
      <c r="AF19" s="79" t="n">
        <f aca="false">AVERAGE(AF10:AF17)</f>
        <v>8.46375</v>
      </c>
      <c r="AG19" s="80"/>
      <c r="AH19" s="80"/>
      <c r="AI19" s="80"/>
      <c r="AJ19" s="79" t="n">
        <f aca="false">AVERAGE(AJ10:AJ17)</f>
        <v>8.575</v>
      </c>
      <c r="AK19" s="80"/>
      <c r="AL19" s="80"/>
      <c r="AM19" s="80"/>
      <c r="AN19" s="79" t="n">
        <f aca="false">AVERAGE(AN10:AN17)</f>
        <v>10.7875</v>
      </c>
      <c r="AO19" s="80"/>
      <c r="AP19" s="80"/>
      <c r="AQ19" s="80"/>
      <c r="AR19" s="79" t="n">
        <f aca="false">AVERAGE(AR10:AR17)</f>
        <v>4.54375</v>
      </c>
      <c r="AS19" s="82"/>
      <c r="AT19" s="83" t="n">
        <f aca="false">ROUND(AVERAGE(AT10:AT17),2)</f>
        <v>5.22</v>
      </c>
      <c r="AU19" s="80"/>
    </row>
    <row r="20" customFormat="false" ht="16.5" hidden="false" customHeight="true" outlineLevel="0" collapsed="false">
      <c r="A20" s="77" t="s">
        <v>49</v>
      </c>
      <c r="B20" s="77"/>
      <c r="C20" s="77"/>
      <c r="D20" s="77"/>
      <c r="E20" s="77"/>
      <c r="F20" s="78"/>
      <c r="G20" s="78"/>
      <c r="H20" s="79" t="n">
        <f aca="false">MIN(H10:H17)</f>
        <v>0</v>
      </c>
      <c r="I20" s="84"/>
      <c r="J20" s="85"/>
      <c r="K20" s="85"/>
      <c r="L20" s="79" t="n">
        <f aca="false">MIN(L10:L17)</f>
        <v>0</v>
      </c>
      <c r="M20" s="84"/>
      <c r="N20" s="84"/>
      <c r="O20" s="84"/>
      <c r="P20" s="79" t="n">
        <f aca="false">MIN(P10:P17)</f>
        <v>0</v>
      </c>
      <c r="Q20" s="84"/>
      <c r="R20" s="84"/>
      <c r="S20" s="84"/>
      <c r="T20" s="79" t="n">
        <f aca="false">MIN(T10:T17)</f>
        <v>0</v>
      </c>
      <c r="U20" s="84"/>
      <c r="V20" s="84"/>
      <c r="W20" s="84"/>
      <c r="X20" s="79" t="n">
        <f aca="false">MIN(X10:X17)</f>
        <v>0</v>
      </c>
      <c r="Y20" s="84"/>
      <c r="Z20" s="84"/>
      <c r="AA20" s="84"/>
      <c r="AB20" s="79" t="n">
        <f aca="false">MIN(AB10:AB17)</f>
        <v>0</v>
      </c>
      <c r="AC20" s="84"/>
      <c r="AD20" s="84"/>
      <c r="AE20" s="84"/>
      <c r="AF20" s="79" t="n">
        <f aca="false">MIN(AF10:AF17)</f>
        <v>0</v>
      </c>
      <c r="AG20" s="84"/>
      <c r="AH20" s="84"/>
      <c r="AI20" s="84"/>
      <c r="AJ20" s="79" t="n">
        <f aca="false">MIN(AJ10:AJ17)</f>
        <v>0</v>
      </c>
      <c r="AK20" s="84"/>
      <c r="AL20" s="84"/>
      <c r="AM20" s="84"/>
      <c r="AN20" s="79" t="n">
        <f aca="false">MIN(AN10:AN17)</f>
        <v>0</v>
      </c>
      <c r="AO20" s="84"/>
      <c r="AP20" s="84"/>
      <c r="AQ20" s="84"/>
      <c r="AR20" s="79" t="n">
        <f aca="false">MIN(AR10:AR17)</f>
        <v>0</v>
      </c>
      <c r="AS20" s="86"/>
      <c r="AT20" s="83" t="n">
        <f aca="false">MIN(AT10:AT17)</f>
        <v>0</v>
      </c>
      <c r="AU20" s="84"/>
    </row>
    <row r="21" customFormat="false" ht="18" hidden="false" customHeight="true" outlineLevel="0" collapsed="false">
      <c r="A21" s="77" t="s">
        <v>50</v>
      </c>
      <c r="B21" s="77"/>
      <c r="C21" s="77"/>
      <c r="D21" s="77"/>
      <c r="E21" s="77"/>
      <c r="F21" s="78"/>
      <c r="G21" s="78"/>
      <c r="H21" s="79" t="n">
        <f aca="false">MAX(H10:H17)</f>
        <v>15.2</v>
      </c>
      <c r="I21" s="84"/>
      <c r="J21" s="85"/>
      <c r="K21" s="85"/>
      <c r="L21" s="79" t="n">
        <f aca="false">MIN(L11:L18)</f>
        <v>0</v>
      </c>
      <c r="M21" s="84"/>
      <c r="N21" s="84"/>
      <c r="O21" s="84"/>
      <c r="P21" s="79" t="n">
        <f aca="false">MAX(P10:P17)</f>
        <v>12.3</v>
      </c>
      <c r="Q21" s="84"/>
      <c r="R21" s="84"/>
      <c r="S21" s="84"/>
      <c r="T21" s="79" t="n">
        <f aca="false">MAX(T10:T17)</f>
        <v>12.7</v>
      </c>
      <c r="U21" s="84"/>
      <c r="V21" s="84"/>
      <c r="W21" s="84"/>
      <c r="X21" s="79" t="n">
        <f aca="false">MAX(X10:X17)</f>
        <v>13.45</v>
      </c>
      <c r="Y21" s="84"/>
      <c r="Z21" s="84"/>
      <c r="AA21" s="84"/>
      <c r="AB21" s="79" t="n">
        <f aca="false">MAX(AB10:AB17)</f>
        <v>12.864</v>
      </c>
      <c r="AC21" s="84"/>
      <c r="AD21" s="84"/>
      <c r="AE21" s="84"/>
      <c r="AF21" s="79" t="n">
        <f aca="false">MAX(AF10:AF17)</f>
        <v>12.282</v>
      </c>
      <c r="AG21" s="84"/>
      <c r="AH21" s="84"/>
      <c r="AI21" s="84"/>
      <c r="AJ21" s="79" t="n">
        <f aca="false">MAX(AJ10:AJ17)</f>
        <v>13</v>
      </c>
      <c r="AK21" s="84"/>
      <c r="AL21" s="84"/>
      <c r="AM21" s="84"/>
      <c r="AN21" s="79" t="n">
        <f aca="false">MAX(AN10:AN17)</f>
        <v>16.9</v>
      </c>
      <c r="AO21" s="84"/>
      <c r="AP21" s="84"/>
      <c r="AQ21" s="84"/>
      <c r="AR21" s="79" t="n">
        <f aca="false">MAX(AR10:AR17)</f>
        <v>7.2</v>
      </c>
      <c r="AS21" s="86"/>
      <c r="AT21" s="83" t="n">
        <f aca="false">MAX(AT10:AT17)</f>
        <v>8.59</v>
      </c>
      <c r="AU21" s="84"/>
    </row>
    <row r="22" customFormat="false" ht="14.25" hidden="false" customHeight="false" outlineLevel="0" collapsed="false">
      <c r="A22" s="87"/>
      <c r="B22" s="87"/>
      <c r="C22" s="87"/>
      <c r="D22" s="87"/>
      <c r="E22" s="87"/>
      <c r="F22" s="88"/>
      <c r="G22" s="88"/>
      <c r="H22" s="88"/>
      <c r="I22" s="88"/>
      <c r="J22" s="89"/>
      <c r="K22" s="89"/>
      <c r="L22" s="88"/>
      <c r="M22" s="88"/>
      <c r="N22" s="88"/>
      <c r="O22" s="88"/>
      <c r="P22" s="88"/>
      <c r="Q22" s="88"/>
      <c r="R22" s="88"/>
      <c r="S22" s="88"/>
      <c r="T22" s="88"/>
      <c r="U22" s="88"/>
      <c r="V22" s="88"/>
      <c r="W22" s="88"/>
      <c r="X22" s="88"/>
      <c r="Y22" s="88"/>
      <c r="Z22" s="88"/>
      <c r="AA22" s="88"/>
      <c r="AB22" s="88"/>
      <c r="AC22" s="88"/>
      <c r="AD22" s="88"/>
      <c r="AE22" s="88"/>
      <c r="AF22" s="88"/>
      <c r="AG22" s="88"/>
      <c r="AH22" s="88"/>
      <c r="AI22" s="88"/>
      <c r="AJ22" s="88"/>
      <c r="AK22" s="88"/>
      <c r="AL22" s="88"/>
      <c r="AM22" s="88"/>
      <c r="AN22" s="88"/>
      <c r="AO22" s="88"/>
      <c r="AP22" s="88"/>
      <c r="AQ22" s="88"/>
      <c r="AR22" s="88"/>
      <c r="AS22" s="90"/>
    </row>
    <row r="23" customFormat="false" ht="14.25" hidden="false" customHeight="false" outlineLevel="0" collapsed="false">
      <c r="A23" s="87"/>
      <c r="B23" s="87"/>
      <c r="C23" s="87"/>
      <c r="D23" s="87"/>
      <c r="E23" s="87"/>
      <c r="F23" s="88"/>
      <c r="G23" s="88"/>
      <c r="H23" s="88"/>
      <c r="I23" s="88"/>
      <c r="J23" s="89"/>
      <c r="K23" s="89"/>
      <c r="L23" s="88"/>
      <c r="M23" s="88"/>
      <c r="N23" s="88"/>
      <c r="O23" s="88"/>
      <c r="P23" s="88"/>
      <c r="Q23" s="88"/>
      <c r="R23" s="88"/>
      <c r="S23" s="88"/>
      <c r="T23" s="88"/>
      <c r="U23" s="88"/>
      <c r="V23" s="88"/>
      <c r="W23" s="88"/>
      <c r="X23" s="88"/>
      <c r="Y23" s="88"/>
      <c r="Z23" s="88"/>
      <c r="AA23" s="88"/>
      <c r="AB23" s="88"/>
      <c r="AC23" s="88"/>
      <c r="AD23" s="88"/>
      <c r="AE23" s="88"/>
      <c r="AF23" s="88"/>
      <c r="AG23" s="88"/>
      <c r="AH23" s="88"/>
      <c r="AI23" s="88"/>
      <c r="AJ23" s="88"/>
      <c r="AK23" s="88"/>
      <c r="AL23" s="88"/>
      <c r="AM23" s="88"/>
      <c r="AN23" s="88"/>
      <c r="AO23" s="88"/>
      <c r="AP23" s="88"/>
      <c r="AQ23" s="88"/>
      <c r="AR23" s="88"/>
      <c r="AS23" s="90"/>
    </row>
    <row r="24" customFormat="false" ht="14.25" hidden="false" customHeight="false" outlineLevel="0" collapsed="false">
      <c r="A24" s="87"/>
      <c r="B24" s="87"/>
      <c r="C24" s="87"/>
      <c r="D24" s="87"/>
      <c r="E24" s="87"/>
      <c r="F24" s="88"/>
      <c r="G24" s="88"/>
      <c r="H24" s="88"/>
      <c r="I24" s="88"/>
      <c r="J24" s="89"/>
      <c r="K24" s="89"/>
      <c r="L24" s="88"/>
      <c r="M24" s="88"/>
      <c r="N24" s="88"/>
      <c r="O24" s="88"/>
      <c r="P24" s="88"/>
      <c r="Q24" s="88"/>
      <c r="R24" s="88"/>
      <c r="S24" s="88"/>
      <c r="T24" s="88"/>
      <c r="U24" s="88"/>
      <c r="V24" s="88"/>
      <c r="W24" s="88"/>
      <c r="X24" s="88"/>
      <c r="Y24" s="88"/>
      <c r="Z24" s="88"/>
      <c r="AA24" s="88"/>
      <c r="AB24" s="88"/>
      <c r="AC24" s="88"/>
      <c r="AD24" s="88"/>
      <c r="AE24" s="88"/>
      <c r="AF24" s="88"/>
      <c r="AG24" s="88"/>
      <c r="AH24" s="88"/>
      <c r="AI24" s="88"/>
      <c r="AJ24" s="88"/>
      <c r="AK24" s="88"/>
      <c r="AL24" s="88"/>
      <c r="AM24" s="88"/>
      <c r="AN24" s="88"/>
      <c r="AO24" s="88"/>
      <c r="AP24" s="88"/>
      <c r="AQ24" s="88"/>
      <c r="AR24" s="88"/>
      <c r="AS24" s="90"/>
    </row>
    <row r="25" customFormat="false" ht="14.25" hidden="false" customHeight="false" outlineLevel="0" collapsed="false">
      <c r="A25" s="87"/>
      <c r="B25" s="87"/>
      <c r="C25" s="87"/>
      <c r="D25" s="87"/>
      <c r="E25" s="87"/>
      <c r="F25" s="88"/>
      <c r="G25" s="88"/>
      <c r="H25" s="88"/>
      <c r="I25" s="88"/>
      <c r="J25" s="89"/>
      <c r="K25" s="89"/>
      <c r="L25" s="88"/>
      <c r="M25" s="88"/>
      <c r="N25" s="88"/>
      <c r="O25" s="88"/>
      <c r="P25" s="88"/>
      <c r="Q25" s="88"/>
      <c r="R25" s="88"/>
      <c r="S25" s="88"/>
      <c r="T25" s="88"/>
      <c r="U25" s="88"/>
      <c r="V25" s="88"/>
      <c r="W25" s="88"/>
      <c r="X25" s="88"/>
      <c r="Y25" s="88"/>
      <c r="Z25" s="88"/>
      <c r="AA25" s="88"/>
      <c r="AB25" s="88"/>
      <c r="AC25" s="88"/>
      <c r="AD25" s="88"/>
      <c r="AE25" s="88"/>
      <c r="AF25" s="88"/>
      <c r="AG25" s="88"/>
      <c r="AH25" s="88"/>
      <c r="AI25" s="88"/>
      <c r="AJ25" s="88"/>
      <c r="AK25" s="88"/>
      <c r="AL25" s="88"/>
      <c r="AM25" s="88"/>
      <c r="AN25" s="88"/>
      <c r="AO25" s="88"/>
      <c r="AP25" s="88"/>
      <c r="AQ25" s="88"/>
      <c r="AR25" s="88"/>
      <c r="AS25" s="90"/>
    </row>
    <row r="26" customFormat="false" ht="14.25" hidden="false" customHeight="false" outlineLevel="0" collapsed="false">
      <c r="A26" s="87"/>
      <c r="B26" s="87"/>
      <c r="C26" s="87"/>
      <c r="D26" s="87"/>
      <c r="E26" s="87"/>
      <c r="F26" s="88"/>
      <c r="G26" s="88"/>
      <c r="H26" s="88"/>
      <c r="I26" s="88"/>
      <c r="J26" s="89"/>
      <c r="K26" s="89"/>
      <c r="L26" s="88"/>
      <c r="M26" s="88"/>
      <c r="N26" s="88"/>
      <c r="O26" s="88"/>
      <c r="P26" s="88"/>
      <c r="Q26" s="88"/>
      <c r="R26" s="88"/>
      <c r="S26" s="88"/>
      <c r="T26" s="88"/>
      <c r="U26" s="88"/>
      <c r="V26" s="88"/>
      <c r="W26" s="88"/>
      <c r="X26" s="88"/>
      <c r="Y26" s="88"/>
      <c r="Z26" s="88"/>
      <c r="AA26" s="88"/>
      <c r="AB26" s="88"/>
      <c r="AC26" s="88"/>
      <c r="AD26" s="88"/>
      <c r="AE26" s="88"/>
      <c r="AF26" s="88"/>
      <c r="AG26" s="88"/>
      <c r="AH26" s="88"/>
      <c r="AI26" s="88"/>
      <c r="AJ26" s="88"/>
      <c r="AK26" s="88"/>
      <c r="AL26" s="88"/>
      <c r="AM26" s="88"/>
      <c r="AN26" s="88"/>
      <c r="AO26" s="88"/>
      <c r="AP26" s="88"/>
      <c r="AQ26" s="88"/>
      <c r="AR26" s="88"/>
      <c r="AS26" s="90"/>
    </row>
    <row r="27" customFormat="false" ht="14.25" hidden="false" customHeight="false" outlineLevel="0" collapsed="false">
      <c r="A27" s="87"/>
      <c r="B27" s="87"/>
      <c r="C27" s="87"/>
      <c r="D27" s="87"/>
      <c r="E27" s="87"/>
      <c r="F27" s="88"/>
      <c r="G27" s="88"/>
      <c r="H27" s="88"/>
      <c r="I27" s="88"/>
      <c r="J27" s="89"/>
      <c r="K27" s="89"/>
      <c r="L27" s="88"/>
      <c r="M27" s="88"/>
      <c r="N27" s="88"/>
      <c r="O27" s="88"/>
      <c r="P27" s="88"/>
      <c r="Q27" s="88"/>
      <c r="R27" s="88"/>
      <c r="S27" s="88"/>
      <c r="T27" s="88"/>
      <c r="U27" s="88"/>
      <c r="V27" s="88"/>
      <c r="W27" s="88"/>
      <c r="X27" s="88"/>
      <c r="Y27" s="88"/>
      <c r="Z27" s="88"/>
      <c r="AA27" s="88"/>
      <c r="AB27" s="88"/>
      <c r="AC27" s="88"/>
      <c r="AD27" s="88"/>
      <c r="AE27" s="88"/>
      <c r="AF27" s="88"/>
      <c r="AG27" s="88"/>
      <c r="AH27" s="88"/>
      <c r="AI27" s="88"/>
      <c r="AJ27" s="88"/>
      <c r="AK27" s="88"/>
      <c r="AL27" s="88"/>
      <c r="AM27" s="88"/>
      <c r="AN27" s="88"/>
      <c r="AO27" s="88"/>
      <c r="AP27" s="88"/>
      <c r="AQ27" s="88"/>
      <c r="AR27" s="88"/>
      <c r="AS27" s="90"/>
    </row>
    <row r="28" customFormat="false" ht="14.25" hidden="false" customHeight="false" outlineLevel="0" collapsed="false">
      <c r="A28" s="87"/>
      <c r="B28" s="87"/>
      <c r="C28" s="87"/>
      <c r="D28" s="87"/>
      <c r="E28" s="87"/>
      <c r="F28" s="88"/>
      <c r="G28" s="88"/>
      <c r="H28" s="88"/>
      <c r="I28" s="88"/>
      <c r="J28" s="89"/>
      <c r="K28" s="89"/>
      <c r="L28" s="88"/>
      <c r="M28" s="88"/>
      <c r="N28" s="88"/>
      <c r="O28" s="88"/>
      <c r="P28" s="88"/>
      <c r="Q28" s="88"/>
      <c r="R28" s="88"/>
      <c r="S28" s="88"/>
      <c r="T28" s="88"/>
      <c r="U28" s="88"/>
      <c r="V28" s="88"/>
      <c r="W28" s="88"/>
      <c r="X28" s="88"/>
      <c r="Y28" s="88"/>
      <c r="Z28" s="88"/>
      <c r="AA28" s="88"/>
      <c r="AB28" s="88"/>
      <c r="AC28" s="88"/>
      <c r="AD28" s="88"/>
      <c r="AE28" s="88"/>
      <c r="AF28" s="88"/>
      <c r="AG28" s="88"/>
      <c r="AH28" s="88"/>
      <c r="AI28" s="88"/>
      <c r="AJ28" s="88"/>
      <c r="AK28" s="88"/>
      <c r="AL28" s="88"/>
      <c r="AM28" s="88"/>
      <c r="AN28" s="88"/>
      <c r="AO28" s="88"/>
      <c r="AP28" s="88"/>
      <c r="AQ28" s="88"/>
      <c r="AR28" s="88"/>
      <c r="AS28" s="90"/>
    </row>
    <row r="29" customFormat="false" ht="14.25" hidden="false" customHeight="false" outlineLevel="0" collapsed="false">
      <c r="A29" s="87"/>
      <c r="B29" s="87"/>
      <c r="C29" s="87"/>
      <c r="D29" s="87"/>
      <c r="E29" s="87"/>
      <c r="F29" s="88"/>
      <c r="G29" s="88"/>
      <c r="H29" s="88"/>
      <c r="I29" s="88"/>
      <c r="J29" s="89"/>
      <c r="K29" s="89"/>
      <c r="L29" s="88"/>
      <c r="M29" s="88"/>
      <c r="N29" s="88"/>
      <c r="O29" s="88"/>
      <c r="P29" s="88"/>
      <c r="Q29" s="88"/>
      <c r="R29" s="88"/>
      <c r="S29" s="88"/>
      <c r="T29" s="88"/>
      <c r="U29" s="88"/>
      <c r="V29" s="88"/>
      <c r="W29" s="88"/>
      <c r="X29" s="88"/>
      <c r="Y29" s="88"/>
      <c r="Z29" s="88"/>
      <c r="AA29" s="88"/>
      <c r="AB29" s="88"/>
      <c r="AC29" s="88"/>
      <c r="AD29" s="88"/>
      <c r="AE29" s="88"/>
      <c r="AF29" s="88"/>
      <c r="AG29" s="88"/>
      <c r="AH29" s="88"/>
      <c r="AI29" s="88"/>
      <c r="AJ29" s="88"/>
      <c r="AK29" s="88"/>
      <c r="AL29" s="88"/>
      <c r="AM29" s="88"/>
      <c r="AN29" s="88"/>
      <c r="AO29" s="88"/>
      <c r="AP29" s="88"/>
      <c r="AQ29" s="88"/>
      <c r="AR29" s="88"/>
      <c r="AS29" s="90"/>
    </row>
    <row r="30" customFormat="false" ht="14.25" hidden="false" customHeight="false" outlineLevel="0" collapsed="false">
      <c r="A30" s="87"/>
      <c r="B30" s="87"/>
      <c r="C30" s="87"/>
      <c r="D30" s="87"/>
      <c r="E30" s="87"/>
      <c r="F30" s="88"/>
      <c r="G30" s="88"/>
      <c r="H30" s="88"/>
      <c r="I30" s="88"/>
      <c r="J30" s="89"/>
      <c r="K30" s="89"/>
      <c r="L30" s="88"/>
      <c r="M30" s="88"/>
      <c r="N30" s="88"/>
      <c r="O30" s="88"/>
      <c r="P30" s="88"/>
      <c r="Q30" s="88"/>
      <c r="R30" s="88"/>
      <c r="S30" s="88"/>
      <c r="T30" s="88"/>
      <c r="U30" s="88"/>
      <c r="V30" s="88"/>
      <c r="W30" s="88"/>
      <c r="X30" s="88"/>
      <c r="Y30" s="88"/>
      <c r="Z30" s="88"/>
      <c r="AA30" s="88"/>
      <c r="AB30" s="88"/>
      <c r="AC30" s="88"/>
      <c r="AD30" s="88"/>
      <c r="AE30" s="88"/>
      <c r="AF30" s="88"/>
      <c r="AG30" s="88"/>
      <c r="AH30" s="88"/>
      <c r="AI30" s="88"/>
      <c r="AJ30" s="88"/>
      <c r="AK30" s="88"/>
      <c r="AL30" s="88"/>
      <c r="AM30" s="88"/>
      <c r="AN30" s="88"/>
      <c r="AO30" s="88"/>
      <c r="AP30" s="88"/>
      <c r="AQ30" s="88"/>
      <c r="AR30" s="88"/>
      <c r="AS30" s="90"/>
    </row>
    <row r="31" customFormat="false" ht="14.25" hidden="false" customHeight="false" outlineLevel="0" collapsed="false">
      <c r="A31" s="87"/>
      <c r="B31" s="87"/>
      <c r="C31" s="87"/>
      <c r="D31" s="87"/>
      <c r="E31" s="87"/>
      <c r="F31" s="88"/>
      <c r="G31" s="88"/>
      <c r="H31" s="88"/>
      <c r="I31" s="88"/>
      <c r="J31" s="89"/>
      <c r="K31" s="89"/>
      <c r="L31" s="88"/>
      <c r="M31" s="88"/>
      <c r="N31" s="88"/>
      <c r="O31" s="88"/>
      <c r="P31" s="88"/>
      <c r="Q31" s="88"/>
      <c r="R31" s="88"/>
      <c r="S31" s="88"/>
      <c r="T31" s="88"/>
      <c r="U31" s="88"/>
      <c r="V31" s="88"/>
      <c r="W31" s="88"/>
      <c r="X31" s="88"/>
      <c r="Y31" s="88"/>
      <c r="Z31" s="88"/>
      <c r="AA31" s="88"/>
      <c r="AB31" s="88"/>
      <c r="AC31" s="88"/>
      <c r="AD31" s="88"/>
      <c r="AE31" s="88"/>
      <c r="AF31" s="88"/>
      <c r="AG31" s="88"/>
      <c r="AH31" s="88"/>
      <c r="AI31" s="88"/>
      <c r="AJ31" s="88"/>
      <c r="AK31" s="88"/>
      <c r="AL31" s="88"/>
      <c r="AM31" s="88"/>
      <c r="AN31" s="88"/>
      <c r="AO31" s="88"/>
      <c r="AP31" s="88"/>
      <c r="AQ31" s="88"/>
      <c r="AR31" s="88"/>
      <c r="AS31" s="90"/>
    </row>
    <row r="32" customFormat="false" ht="14.25" hidden="false" customHeight="false" outlineLevel="0" collapsed="false">
      <c r="A32" s="87"/>
      <c r="B32" s="87"/>
      <c r="C32" s="87"/>
      <c r="D32" s="87"/>
      <c r="E32" s="87"/>
      <c r="F32" s="88"/>
      <c r="G32" s="88"/>
      <c r="H32" s="88"/>
      <c r="I32" s="88"/>
      <c r="J32" s="89"/>
      <c r="K32" s="89"/>
      <c r="L32" s="88"/>
      <c r="M32" s="88"/>
      <c r="N32" s="88"/>
      <c r="O32" s="88"/>
      <c r="P32" s="88"/>
      <c r="Q32" s="88"/>
      <c r="R32" s="88"/>
      <c r="S32" s="88"/>
      <c r="T32" s="88"/>
      <c r="U32" s="88"/>
      <c r="V32" s="88"/>
      <c r="W32" s="88"/>
      <c r="X32" s="88"/>
      <c r="Y32" s="88"/>
      <c r="Z32" s="88"/>
      <c r="AA32" s="88"/>
      <c r="AB32" s="88"/>
      <c r="AC32" s="88"/>
      <c r="AD32" s="88"/>
      <c r="AE32" s="88"/>
      <c r="AF32" s="88"/>
      <c r="AG32" s="88"/>
      <c r="AH32" s="88"/>
      <c r="AI32" s="88"/>
      <c r="AJ32" s="88"/>
      <c r="AK32" s="88"/>
      <c r="AL32" s="88"/>
      <c r="AM32" s="88"/>
      <c r="AN32" s="88"/>
      <c r="AO32" s="88"/>
      <c r="AP32" s="88"/>
      <c r="AQ32" s="88"/>
      <c r="AR32" s="88"/>
      <c r="AS32" s="90"/>
    </row>
    <row r="33" customFormat="false" ht="14.25" hidden="false" customHeight="false" outlineLevel="0" collapsed="false">
      <c r="A33" s="87"/>
      <c r="B33" s="87"/>
      <c r="C33" s="87"/>
      <c r="D33" s="87"/>
      <c r="E33" s="87"/>
      <c r="F33" s="88"/>
      <c r="G33" s="88"/>
      <c r="H33" s="88"/>
      <c r="I33" s="88"/>
      <c r="J33" s="89"/>
      <c r="K33" s="89"/>
      <c r="L33" s="88"/>
      <c r="M33" s="88"/>
      <c r="N33" s="88"/>
      <c r="O33" s="88"/>
      <c r="P33" s="88"/>
      <c r="Q33" s="88"/>
      <c r="R33" s="88"/>
      <c r="S33" s="88"/>
      <c r="T33" s="88"/>
      <c r="U33" s="88"/>
      <c r="V33" s="88"/>
      <c r="W33" s="88"/>
      <c r="X33" s="88"/>
      <c r="Y33" s="88"/>
      <c r="Z33" s="88"/>
      <c r="AA33" s="88"/>
      <c r="AB33" s="88"/>
      <c r="AC33" s="88"/>
      <c r="AD33" s="88"/>
      <c r="AE33" s="88"/>
      <c r="AF33" s="88"/>
      <c r="AG33" s="88"/>
      <c r="AH33" s="88"/>
      <c r="AI33" s="88"/>
      <c r="AJ33" s="88"/>
      <c r="AK33" s="88"/>
      <c r="AL33" s="88"/>
      <c r="AM33" s="88"/>
      <c r="AN33" s="88"/>
      <c r="AO33" s="88"/>
      <c r="AP33" s="88"/>
      <c r="AQ33" s="88"/>
      <c r="AR33" s="88"/>
      <c r="AS33" s="90"/>
    </row>
    <row r="34" customFormat="false" ht="14.25" hidden="false" customHeight="false" outlineLevel="0" collapsed="false">
      <c r="A34" s="87"/>
      <c r="B34" s="87"/>
      <c r="C34" s="87"/>
      <c r="D34" s="87"/>
      <c r="E34" s="87"/>
      <c r="F34" s="88"/>
      <c r="G34" s="88"/>
      <c r="H34" s="88"/>
      <c r="I34" s="88"/>
      <c r="J34" s="89"/>
      <c r="K34" s="89"/>
      <c r="L34" s="88"/>
      <c r="M34" s="88"/>
      <c r="N34" s="88"/>
      <c r="O34" s="88"/>
      <c r="P34" s="88"/>
      <c r="Q34" s="88"/>
      <c r="R34" s="88"/>
      <c r="S34" s="88"/>
      <c r="T34" s="88"/>
      <c r="U34" s="88"/>
      <c r="V34" s="88"/>
      <c r="W34" s="88"/>
      <c r="X34" s="88"/>
      <c r="Y34" s="88"/>
      <c r="Z34" s="88"/>
      <c r="AA34" s="88"/>
      <c r="AB34" s="88"/>
      <c r="AC34" s="88"/>
      <c r="AD34" s="88"/>
      <c r="AE34" s="88"/>
      <c r="AF34" s="88"/>
      <c r="AG34" s="88"/>
      <c r="AH34" s="88"/>
      <c r="AI34" s="88"/>
      <c r="AJ34" s="88"/>
      <c r="AK34" s="88"/>
      <c r="AL34" s="88"/>
      <c r="AM34" s="88"/>
      <c r="AN34" s="88"/>
      <c r="AO34" s="88"/>
      <c r="AP34" s="88"/>
      <c r="AQ34" s="88"/>
      <c r="AR34" s="88"/>
      <c r="AS34" s="90"/>
    </row>
    <row r="35" customFormat="false" ht="14.25" hidden="false" customHeight="false" outlineLevel="0" collapsed="false">
      <c r="A35" s="87"/>
      <c r="B35" s="87"/>
      <c r="C35" s="87"/>
      <c r="D35" s="87"/>
      <c r="E35" s="87"/>
      <c r="F35" s="88"/>
      <c r="G35" s="88"/>
      <c r="H35" s="88"/>
      <c r="I35" s="88"/>
      <c r="J35" s="89"/>
      <c r="K35" s="89"/>
      <c r="L35" s="88"/>
      <c r="M35" s="88"/>
      <c r="N35" s="88"/>
      <c r="O35" s="88"/>
      <c r="P35" s="88"/>
      <c r="Q35" s="88"/>
      <c r="R35" s="88"/>
      <c r="S35" s="88"/>
      <c r="T35" s="88"/>
      <c r="U35" s="88"/>
      <c r="V35" s="88"/>
      <c r="W35" s="88"/>
      <c r="X35" s="88"/>
      <c r="Y35" s="88"/>
      <c r="Z35" s="88"/>
      <c r="AA35" s="88"/>
      <c r="AB35" s="88"/>
      <c r="AC35" s="88"/>
      <c r="AD35" s="88"/>
      <c r="AE35" s="88"/>
      <c r="AF35" s="88"/>
      <c r="AG35" s="88"/>
      <c r="AH35" s="88"/>
      <c r="AI35" s="88"/>
      <c r="AJ35" s="88"/>
      <c r="AK35" s="88"/>
      <c r="AL35" s="88"/>
      <c r="AM35" s="88"/>
      <c r="AN35" s="88"/>
      <c r="AO35" s="88"/>
      <c r="AP35" s="88"/>
      <c r="AQ35" s="88"/>
      <c r="AR35" s="88"/>
      <c r="AS35" s="90"/>
    </row>
    <row r="36" customFormat="false" ht="14.25" hidden="false" customHeight="false" outlineLevel="0" collapsed="false">
      <c r="A36" s="87"/>
      <c r="B36" s="87"/>
      <c r="C36" s="87"/>
      <c r="D36" s="87"/>
      <c r="E36" s="87"/>
      <c r="F36" s="88"/>
      <c r="G36" s="88"/>
      <c r="H36" s="88"/>
      <c r="I36" s="88"/>
      <c r="J36" s="89"/>
      <c r="K36" s="89"/>
      <c r="L36" s="88"/>
      <c r="M36" s="88"/>
      <c r="N36" s="88"/>
      <c r="O36" s="88"/>
      <c r="P36" s="88"/>
      <c r="Q36" s="88"/>
      <c r="R36" s="88"/>
      <c r="S36" s="88"/>
      <c r="T36" s="88"/>
      <c r="U36" s="88"/>
      <c r="V36" s="88"/>
      <c r="W36" s="88"/>
      <c r="X36" s="88"/>
      <c r="Y36" s="88"/>
      <c r="Z36" s="88"/>
      <c r="AA36" s="88"/>
      <c r="AB36" s="88"/>
      <c r="AC36" s="88"/>
      <c r="AD36" s="88"/>
      <c r="AE36" s="88"/>
      <c r="AF36" s="88"/>
      <c r="AG36" s="88"/>
      <c r="AH36" s="88"/>
      <c r="AI36" s="88"/>
      <c r="AJ36" s="88"/>
      <c r="AK36" s="88"/>
      <c r="AL36" s="88"/>
      <c r="AM36" s="88"/>
      <c r="AN36" s="88"/>
      <c r="AO36" s="88"/>
      <c r="AP36" s="88"/>
      <c r="AQ36" s="88"/>
      <c r="AR36" s="88"/>
      <c r="AS36" s="90"/>
    </row>
    <row r="37" customFormat="false" ht="14.25" hidden="false" customHeight="false" outlineLevel="0" collapsed="false">
      <c r="A37" s="87"/>
      <c r="B37" s="87"/>
      <c r="C37" s="87"/>
      <c r="D37" s="87"/>
      <c r="E37" s="87"/>
      <c r="F37" s="88"/>
      <c r="G37" s="88"/>
      <c r="H37" s="88"/>
      <c r="I37" s="88"/>
      <c r="J37" s="89"/>
      <c r="K37" s="89"/>
      <c r="L37" s="88"/>
      <c r="M37" s="88"/>
      <c r="N37" s="88"/>
      <c r="O37" s="88"/>
      <c r="P37" s="88"/>
      <c r="Q37" s="88"/>
      <c r="R37" s="88"/>
      <c r="S37" s="88"/>
      <c r="T37" s="88"/>
      <c r="U37" s="88"/>
      <c r="V37" s="88"/>
      <c r="W37" s="88"/>
      <c r="X37" s="88"/>
      <c r="Y37" s="88"/>
      <c r="Z37" s="88"/>
      <c r="AA37" s="88"/>
      <c r="AB37" s="88"/>
      <c r="AC37" s="88"/>
      <c r="AD37" s="88"/>
      <c r="AE37" s="88"/>
      <c r="AF37" s="88"/>
      <c r="AG37" s="88"/>
      <c r="AH37" s="88"/>
      <c r="AI37" s="88"/>
      <c r="AJ37" s="88"/>
      <c r="AK37" s="88"/>
      <c r="AL37" s="88"/>
      <c r="AM37" s="88"/>
      <c r="AN37" s="88"/>
      <c r="AO37" s="88"/>
      <c r="AP37" s="88"/>
      <c r="AQ37" s="88"/>
      <c r="AR37" s="88"/>
      <c r="AS37" s="90"/>
    </row>
    <row r="38" customFormat="false" ht="14.25" hidden="false" customHeight="false" outlineLevel="0" collapsed="false">
      <c r="A38" s="87"/>
      <c r="B38" s="87"/>
      <c r="C38" s="87"/>
      <c r="D38" s="87"/>
      <c r="E38" s="87"/>
      <c r="F38" s="88"/>
      <c r="G38" s="88"/>
      <c r="H38" s="88"/>
      <c r="I38" s="88"/>
      <c r="J38" s="89"/>
      <c r="K38" s="89"/>
      <c r="L38" s="88"/>
      <c r="M38" s="88"/>
      <c r="N38" s="88"/>
      <c r="O38" s="88"/>
      <c r="P38" s="88"/>
      <c r="Q38" s="88"/>
      <c r="R38" s="88"/>
      <c r="S38" s="88"/>
      <c r="T38" s="88"/>
      <c r="U38" s="88"/>
      <c r="V38" s="88"/>
      <c r="W38" s="88"/>
      <c r="X38" s="88"/>
      <c r="Y38" s="88"/>
      <c r="Z38" s="88"/>
      <c r="AA38" s="88"/>
      <c r="AB38" s="88"/>
      <c r="AC38" s="88"/>
      <c r="AD38" s="88"/>
      <c r="AE38" s="88"/>
      <c r="AF38" s="88"/>
      <c r="AG38" s="88"/>
      <c r="AH38" s="88"/>
      <c r="AI38" s="88"/>
      <c r="AJ38" s="88"/>
      <c r="AK38" s="88"/>
      <c r="AL38" s="88"/>
      <c r="AM38" s="88"/>
      <c r="AN38" s="88"/>
      <c r="AO38" s="88"/>
      <c r="AP38" s="88"/>
      <c r="AQ38" s="88"/>
      <c r="AR38" s="88"/>
      <c r="AS38" s="90"/>
    </row>
    <row r="39" customFormat="false" ht="14.25" hidden="false" customHeight="false" outlineLevel="0" collapsed="false">
      <c r="A39" s="87"/>
      <c r="B39" s="87"/>
      <c r="C39" s="87"/>
      <c r="D39" s="87"/>
      <c r="E39" s="87"/>
      <c r="F39" s="88"/>
      <c r="G39" s="88"/>
      <c r="H39" s="88"/>
      <c r="I39" s="88"/>
      <c r="J39" s="89"/>
      <c r="K39" s="89"/>
      <c r="L39" s="88"/>
      <c r="M39" s="88"/>
      <c r="N39" s="88"/>
      <c r="O39" s="88"/>
      <c r="P39" s="88"/>
      <c r="Q39" s="88"/>
      <c r="R39" s="88"/>
      <c r="S39" s="88"/>
      <c r="T39" s="88"/>
      <c r="U39" s="88"/>
      <c r="V39" s="88"/>
      <c r="W39" s="88"/>
      <c r="X39" s="88"/>
      <c r="Y39" s="88"/>
      <c r="Z39" s="88"/>
      <c r="AA39" s="88"/>
      <c r="AB39" s="88"/>
      <c r="AC39" s="88"/>
      <c r="AD39" s="88"/>
      <c r="AE39" s="88"/>
      <c r="AF39" s="88"/>
      <c r="AG39" s="88"/>
      <c r="AH39" s="88"/>
      <c r="AI39" s="88"/>
      <c r="AJ39" s="88"/>
      <c r="AK39" s="88"/>
      <c r="AL39" s="88"/>
      <c r="AM39" s="88"/>
      <c r="AN39" s="88"/>
      <c r="AO39" s="88"/>
      <c r="AP39" s="88"/>
      <c r="AQ39" s="88"/>
      <c r="AR39" s="88"/>
      <c r="AS39" s="90"/>
    </row>
    <row r="40" customFormat="false" ht="14.25" hidden="false" customHeight="false" outlineLevel="0" collapsed="false">
      <c r="A40" s="87"/>
      <c r="B40" s="87"/>
      <c r="C40" s="87"/>
      <c r="D40" s="87"/>
      <c r="E40" s="87"/>
      <c r="F40" s="88"/>
      <c r="G40" s="88"/>
      <c r="H40" s="88"/>
      <c r="I40" s="88"/>
      <c r="J40" s="89"/>
      <c r="K40" s="89"/>
      <c r="L40" s="88"/>
      <c r="M40" s="88"/>
      <c r="N40" s="88"/>
      <c r="O40" s="88"/>
      <c r="P40" s="88"/>
      <c r="Q40" s="88"/>
      <c r="R40" s="88"/>
      <c r="S40" s="88"/>
      <c r="T40" s="88"/>
      <c r="U40" s="88"/>
      <c r="V40" s="88"/>
      <c r="W40" s="88"/>
      <c r="X40" s="88"/>
      <c r="Y40" s="88"/>
      <c r="Z40" s="88"/>
      <c r="AA40" s="88"/>
      <c r="AB40" s="88"/>
      <c r="AC40" s="88"/>
      <c r="AD40" s="88"/>
      <c r="AE40" s="88"/>
      <c r="AF40" s="88"/>
      <c r="AG40" s="88"/>
      <c r="AH40" s="88"/>
      <c r="AI40" s="88"/>
      <c r="AJ40" s="88"/>
      <c r="AK40" s="88"/>
      <c r="AL40" s="88"/>
      <c r="AM40" s="88"/>
      <c r="AN40" s="88"/>
      <c r="AO40" s="88"/>
      <c r="AP40" s="88"/>
      <c r="AQ40" s="88"/>
      <c r="AR40" s="88"/>
      <c r="AS40" s="90"/>
    </row>
    <row r="41" customFormat="false" ht="14.25" hidden="false" customHeight="false" outlineLevel="0" collapsed="false">
      <c r="A41" s="87"/>
      <c r="B41" s="87"/>
      <c r="C41" s="87"/>
      <c r="D41" s="87"/>
      <c r="E41" s="87"/>
      <c r="F41" s="88"/>
      <c r="G41" s="88"/>
      <c r="H41" s="88"/>
      <c r="I41" s="88"/>
      <c r="J41" s="89"/>
      <c r="K41" s="89"/>
      <c r="L41" s="88"/>
      <c r="M41" s="88"/>
      <c r="N41" s="88"/>
      <c r="O41" s="88"/>
      <c r="P41" s="88"/>
      <c r="Q41" s="88"/>
      <c r="R41" s="88"/>
      <c r="S41" s="88"/>
      <c r="T41" s="88"/>
      <c r="U41" s="88"/>
      <c r="V41" s="88"/>
      <c r="W41" s="88"/>
      <c r="X41" s="88"/>
      <c r="Y41" s="88"/>
      <c r="Z41" s="88"/>
      <c r="AA41" s="88"/>
      <c r="AB41" s="88"/>
      <c r="AC41" s="88"/>
      <c r="AD41" s="88"/>
      <c r="AE41" s="88"/>
      <c r="AF41" s="88"/>
      <c r="AG41" s="88"/>
      <c r="AH41" s="88"/>
      <c r="AI41" s="88"/>
      <c r="AJ41" s="88"/>
      <c r="AK41" s="88"/>
      <c r="AL41" s="88"/>
      <c r="AM41" s="88"/>
      <c r="AN41" s="88"/>
      <c r="AO41" s="88"/>
      <c r="AP41" s="88"/>
      <c r="AQ41" s="88"/>
      <c r="AR41" s="88"/>
      <c r="AS41" s="90"/>
    </row>
    <row r="42" customFormat="false" ht="14.25" hidden="false" customHeight="false" outlineLevel="0" collapsed="false">
      <c r="A42" s="87"/>
      <c r="B42" s="87"/>
      <c r="C42" s="87"/>
      <c r="D42" s="87"/>
      <c r="E42" s="87"/>
      <c r="F42" s="88"/>
      <c r="G42" s="88"/>
      <c r="H42" s="88"/>
      <c r="I42" s="88"/>
      <c r="J42" s="89"/>
      <c r="K42" s="89"/>
      <c r="L42" s="88"/>
      <c r="M42" s="88"/>
      <c r="N42" s="88"/>
      <c r="O42" s="88"/>
      <c r="P42" s="88"/>
      <c r="Q42" s="88"/>
      <c r="R42" s="88"/>
      <c r="S42" s="88"/>
      <c r="T42" s="88"/>
      <c r="U42" s="88"/>
      <c r="V42" s="88"/>
      <c r="W42" s="88"/>
      <c r="X42" s="88"/>
      <c r="Y42" s="88"/>
      <c r="Z42" s="88"/>
      <c r="AA42" s="88"/>
      <c r="AB42" s="88"/>
      <c r="AC42" s="88"/>
      <c r="AD42" s="88"/>
      <c r="AE42" s="88"/>
      <c r="AF42" s="88"/>
      <c r="AG42" s="88"/>
      <c r="AH42" s="88"/>
      <c r="AI42" s="88"/>
      <c r="AJ42" s="88"/>
      <c r="AK42" s="88"/>
      <c r="AL42" s="88"/>
      <c r="AM42" s="88"/>
      <c r="AN42" s="88"/>
      <c r="AO42" s="88"/>
      <c r="AP42" s="88"/>
      <c r="AQ42" s="88"/>
      <c r="AR42" s="88"/>
      <c r="AS42" s="90"/>
    </row>
    <row r="43" customFormat="false" ht="14.25" hidden="false" customHeight="false" outlineLevel="0" collapsed="false">
      <c r="A43" s="87"/>
      <c r="B43" s="87"/>
      <c r="C43" s="87"/>
      <c r="D43" s="87"/>
      <c r="E43" s="87"/>
      <c r="F43" s="88"/>
      <c r="G43" s="88"/>
      <c r="H43" s="88"/>
      <c r="I43" s="88"/>
      <c r="J43" s="89"/>
      <c r="K43" s="89"/>
      <c r="L43" s="88"/>
      <c r="M43" s="88"/>
      <c r="N43" s="88"/>
      <c r="O43" s="88"/>
      <c r="P43" s="88"/>
      <c r="Q43" s="88"/>
      <c r="R43" s="88"/>
      <c r="S43" s="88"/>
      <c r="T43" s="88"/>
      <c r="U43" s="88"/>
      <c r="V43" s="88"/>
      <c r="W43" s="88"/>
      <c r="X43" s="88"/>
      <c r="Y43" s="88"/>
      <c r="Z43" s="88"/>
      <c r="AA43" s="88"/>
      <c r="AB43" s="88"/>
      <c r="AC43" s="88"/>
      <c r="AD43" s="88"/>
      <c r="AE43" s="88"/>
      <c r="AF43" s="88"/>
      <c r="AG43" s="88"/>
      <c r="AH43" s="88"/>
      <c r="AI43" s="88"/>
      <c r="AJ43" s="88"/>
      <c r="AK43" s="88"/>
      <c r="AL43" s="88"/>
      <c r="AM43" s="88"/>
      <c r="AN43" s="88"/>
      <c r="AO43" s="88"/>
      <c r="AP43" s="88"/>
      <c r="AQ43" s="88"/>
      <c r="AR43" s="88"/>
      <c r="AS43" s="90"/>
    </row>
    <row r="44" customFormat="false" ht="14.25" hidden="false" customHeight="false" outlineLevel="0" collapsed="false">
      <c r="A44" s="87"/>
      <c r="B44" s="87"/>
      <c r="C44" s="87"/>
      <c r="D44" s="87"/>
      <c r="E44" s="87"/>
      <c r="F44" s="88"/>
      <c r="G44" s="88"/>
      <c r="H44" s="88"/>
      <c r="I44" s="88"/>
      <c r="J44" s="89"/>
      <c r="K44" s="89"/>
      <c r="L44" s="88"/>
      <c r="M44" s="88"/>
      <c r="N44" s="88"/>
      <c r="O44" s="88"/>
      <c r="P44" s="88"/>
      <c r="Q44" s="88"/>
      <c r="R44" s="88"/>
      <c r="S44" s="88"/>
      <c r="T44" s="88"/>
      <c r="U44" s="88"/>
      <c r="V44" s="88"/>
      <c r="W44" s="88"/>
      <c r="X44" s="88"/>
      <c r="Y44" s="88"/>
      <c r="Z44" s="88"/>
      <c r="AA44" s="88"/>
      <c r="AB44" s="88"/>
      <c r="AC44" s="88"/>
      <c r="AD44" s="88"/>
      <c r="AE44" s="88"/>
      <c r="AF44" s="88"/>
      <c r="AG44" s="88"/>
      <c r="AH44" s="88"/>
      <c r="AI44" s="88"/>
      <c r="AJ44" s="88"/>
      <c r="AK44" s="88"/>
      <c r="AL44" s="88"/>
      <c r="AM44" s="88"/>
      <c r="AN44" s="88"/>
      <c r="AO44" s="88"/>
      <c r="AP44" s="88"/>
      <c r="AQ44" s="88"/>
      <c r="AR44" s="88"/>
      <c r="AS44" s="90"/>
    </row>
    <row r="45" customFormat="false" ht="14.25" hidden="false" customHeight="false" outlineLevel="0" collapsed="false">
      <c r="A45" s="87"/>
      <c r="B45" s="87"/>
      <c r="C45" s="87"/>
      <c r="D45" s="87"/>
      <c r="E45" s="87"/>
      <c r="F45" s="88"/>
      <c r="G45" s="88"/>
      <c r="H45" s="88"/>
      <c r="I45" s="88"/>
      <c r="J45" s="89"/>
      <c r="K45" s="89"/>
      <c r="L45" s="88"/>
      <c r="M45" s="88"/>
      <c r="N45" s="88"/>
      <c r="O45" s="88"/>
      <c r="P45" s="88"/>
      <c r="Q45" s="88"/>
      <c r="R45" s="88"/>
      <c r="S45" s="88"/>
      <c r="T45" s="88"/>
      <c r="U45" s="88"/>
      <c r="V45" s="88"/>
      <c r="W45" s="88"/>
      <c r="X45" s="88"/>
      <c r="Y45" s="88"/>
      <c r="Z45" s="88"/>
      <c r="AA45" s="88"/>
      <c r="AB45" s="88"/>
      <c r="AC45" s="88"/>
      <c r="AD45" s="88"/>
      <c r="AE45" s="88"/>
      <c r="AF45" s="88"/>
      <c r="AG45" s="88"/>
      <c r="AH45" s="88"/>
      <c r="AI45" s="88"/>
      <c r="AJ45" s="88"/>
      <c r="AK45" s="88"/>
      <c r="AL45" s="88"/>
      <c r="AM45" s="88"/>
      <c r="AN45" s="88"/>
      <c r="AO45" s="88"/>
      <c r="AP45" s="88"/>
      <c r="AQ45" s="88"/>
      <c r="AR45" s="88"/>
      <c r="AS45" s="90"/>
    </row>
    <row r="46" customFormat="false" ht="14.25" hidden="false" customHeight="false" outlineLevel="0" collapsed="false">
      <c r="A46" s="87"/>
      <c r="B46" s="87"/>
      <c r="C46" s="87"/>
      <c r="D46" s="87"/>
      <c r="E46" s="87"/>
      <c r="F46" s="88"/>
      <c r="G46" s="88"/>
      <c r="H46" s="88"/>
      <c r="I46" s="88"/>
      <c r="J46" s="89"/>
      <c r="K46" s="89"/>
      <c r="L46" s="88"/>
      <c r="M46" s="88"/>
      <c r="N46" s="88"/>
      <c r="O46" s="88"/>
      <c r="P46" s="88"/>
      <c r="Q46" s="88"/>
      <c r="R46" s="88"/>
      <c r="S46" s="88"/>
      <c r="T46" s="88"/>
      <c r="U46" s="88"/>
      <c r="V46" s="88"/>
      <c r="W46" s="88"/>
      <c r="X46" s="88"/>
      <c r="Y46" s="88"/>
      <c r="Z46" s="88"/>
      <c r="AA46" s="88"/>
      <c r="AB46" s="88"/>
      <c r="AC46" s="88"/>
      <c r="AD46" s="88"/>
      <c r="AE46" s="88"/>
      <c r="AF46" s="88"/>
      <c r="AG46" s="88"/>
      <c r="AH46" s="88"/>
      <c r="AI46" s="88"/>
      <c r="AJ46" s="88"/>
      <c r="AK46" s="88"/>
      <c r="AL46" s="88"/>
      <c r="AM46" s="88"/>
      <c r="AN46" s="88"/>
      <c r="AO46" s="88"/>
      <c r="AP46" s="88"/>
      <c r="AQ46" s="88"/>
      <c r="AR46" s="88"/>
      <c r="AS46" s="90"/>
    </row>
    <row r="47" customFormat="false" ht="14.25" hidden="false" customHeight="false" outlineLevel="0" collapsed="false">
      <c r="A47" s="87"/>
      <c r="B47" s="87"/>
      <c r="C47" s="87"/>
      <c r="D47" s="87"/>
      <c r="E47" s="87"/>
      <c r="F47" s="88"/>
      <c r="G47" s="88"/>
      <c r="H47" s="88"/>
      <c r="I47" s="88"/>
      <c r="J47" s="89"/>
      <c r="K47" s="89"/>
      <c r="L47" s="88"/>
      <c r="M47" s="88"/>
      <c r="N47" s="88"/>
      <c r="O47" s="88"/>
      <c r="P47" s="88"/>
      <c r="Q47" s="88"/>
      <c r="R47" s="88"/>
      <c r="S47" s="88"/>
      <c r="T47" s="88"/>
      <c r="U47" s="88"/>
      <c r="V47" s="88"/>
      <c r="W47" s="88"/>
      <c r="X47" s="88"/>
      <c r="Y47" s="88"/>
      <c r="Z47" s="88"/>
      <c r="AA47" s="88"/>
      <c r="AB47" s="88"/>
      <c r="AC47" s="88"/>
      <c r="AD47" s="88"/>
      <c r="AE47" s="88"/>
      <c r="AF47" s="88"/>
      <c r="AG47" s="88"/>
      <c r="AH47" s="88"/>
      <c r="AI47" s="88"/>
      <c r="AJ47" s="88"/>
      <c r="AK47" s="88"/>
      <c r="AL47" s="88"/>
      <c r="AM47" s="88"/>
      <c r="AN47" s="88"/>
      <c r="AO47" s="88"/>
      <c r="AP47" s="88"/>
      <c r="AQ47" s="88"/>
      <c r="AR47" s="88"/>
      <c r="AS47" s="90"/>
    </row>
    <row r="48" customFormat="false" ht="14.25" hidden="false" customHeight="false" outlineLevel="0" collapsed="false">
      <c r="A48" s="87"/>
      <c r="B48" s="87"/>
      <c r="C48" s="87"/>
      <c r="D48" s="87"/>
      <c r="E48" s="87"/>
      <c r="F48" s="88"/>
      <c r="G48" s="88"/>
      <c r="H48" s="88"/>
      <c r="I48" s="88"/>
      <c r="J48" s="89"/>
      <c r="K48" s="89"/>
      <c r="L48" s="88"/>
      <c r="M48" s="88"/>
      <c r="N48" s="88"/>
      <c r="O48" s="88"/>
      <c r="P48" s="88"/>
      <c r="Q48" s="88"/>
      <c r="R48" s="88"/>
      <c r="S48" s="88"/>
      <c r="T48" s="88"/>
      <c r="U48" s="88"/>
      <c r="V48" s="88"/>
      <c r="W48" s="88"/>
      <c r="X48" s="88"/>
      <c r="Y48" s="88"/>
      <c r="Z48" s="88"/>
      <c r="AA48" s="88"/>
      <c r="AB48" s="88"/>
      <c r="AC48" s="88"/>
      <c r="AD48" s="88"/>
      <c r="AE48" s="88"/>
      <c r="AF48" s="88"/>
      <c r="AG48" s="88"/>
      <c r="AH48" s="88"/>
      <c r="AI48" s="88"/>
      <c r="AJ48" s="88"/>
      <c r="AK48" s="88"/>
      <c r="AL48" s="88"/>
      <c r="AM48" s="88"/>
      <c r="AN48" s="88"/>
      <c r="AO48" s="88"/>
      <c r="AP48" s="88"/>
      <c r="AQ48" s="88"/>
      <c r="AR48" s="88"/>
      <c r="AS48" s="90"/>
    </row>
    <row r="49" customFormat="false" ht="14.25" hidden="false" customHeight="false" outlineLevel="0" collapsed="false">
      <c r="A49" s="87"/>
      <c r="B49" s="87"/>
      <c r="C49" s="87"/>
      <c r="D49" s="87"/>
      <c r="E49" s="87"/>
      <c r="F49" s="88"/>
      <c r="G49" s="88"/>
      <c r="H49" s="88"/>
      <c r="I49" s="88"/>
      <c r="J49" s="89"/>
      <c r="K49" s="89"/>
      <c r="L49" s="88"/>
      <c r="M49" s="88"/>
      <c r="N49" s="88"/>
      <c r="O49" s="88"/>
      <c r="P49" s="88"/>
      <c r="Q49" s="88"/>
      <c r="R49" s="88"/>
      <c r="S49" s="88"/>
      <c r="T49" s="88"/>
      <c r="U49" s="88"/>
      <c r="V49" s="88"/>
      <c r="W49" s="88"/>
      <c r="X49" s="88"/>
      <c r="Y49" s="88"/>
      <c r="Z49" s="88"/>
      <c r="AA49" s="88"/>
      <c r="AB49" s="88"/>
      <c r="AC49" s="88"/>
      <c r="AD49" s="88"/>
      <c r="AE49" s="88"/>
      <c r="AF49" s="88"/>
      <c r="AG49" s="88"/>
      <c r="AH49" s="88"/>
      <c r="AI49" s="88"/>
      <c r="AJ49" s="88"/>
      <c r="AK49" s="88"/>
      <c r="AL49" s="88"/>
      <c r="AM49" s="88"/>
      <c r="AN49" s="88"/>
      <c r="AO49" s="88"/>
      <c r="AP49" s="88"/>
      <c r="AQ49" s="88"/>
      <c r="AR49" s="88"/>
      <c r="AS49" s="90"/>
    </row>
    <row r="50" customFormat="false" ht="14.25" hidden="false" customHeight="false" outlineLevel="0" collapsed="false">
      <c r="A50" s="87"/>
      <c r="B50" s="87"/>
      <c r="C50" s="87"/>
      <c r="D50" s="87"/>
      <c r="E50" s="87"/>
      <c r="F50" s="88"/>
      <c r="G50" s="88"/>
      <c r="H50" s="88"/>
      <c r="I50" s="88"/>
      <c r="J50" s="89"/>
      <c r="K50" s="89"/>
      <c r="L50" s="88"/>
      <c r="M50" s="88"/>
      <c r="N50" s="88"/>
      <c r="O50" s="88"/>
      <c r="P50" s="88"/>
      <c r="Q50" s="88"/>
      <c r="R50" s="88"/>
      <c r="S50" s="88"/>
      <c r="T50" s="88"/>
      <c r="U50" s="88"/>
      <c r="V50" s="88"/>
      <c r="W50" s="88"/>
      <c r="X50" s="88"/>
      <c r="Y50" s="88"/>
      <c r="Z50" s="88"/>
      <c r="AA50" s="88"/>
      <c r="AB50" s="88"/>
      <c r="AC50" s="88"/>
      <c r="AD50" s="88"/>
      <c r="AE50" s="88"/>
      <c r="AF50" s="88"/>
      <c r="AG50" s="88"/>
      <c r="AH50" s="88"/>
      <c r="AI50" s="88"/>
      <c r="AJ50" s="88"/>
      <c r="AK50" s="88"/>
      <c r="AL50" s="88"/>
      <c r="AM50" s="88"/>
      <c r="AN50" s="88"/>
      <c r="AO50" s="88"/>
      <c r="AP50" s="88"/>
      <c r="AQ50" s="88"/>
      <c r="AR50" s="88"/>
      <c r="AS50" s="90"/>
    </row>
    <row r="51" customFormat="false" ht="14.25" hidden="false" customHeight="false" outlineLevel="0" collapsed="false">
      <c r="A51" s="87"/>
      <c r="B51" s="87"/>
      <c r="C51" s="87"/>
      <c r="D51" s="87"/>
      <c r="E51" s="87"/>
      <c r="F51" s="88"/>
      <c r="G51" s="88"/>
      <c r="H51" s="88"/>
      <c r="I51" s="88"/>
      <c r="J51" s="89"/>
      <c r="K51" s="89"/>
      <c r="L51" s="88"/>
      <c r="M51" s="88"/>
      <c r="N51" s="88"/>
      <c r="O51" s="88"/>
      <c r="P51" s="88"/>
      <c r="Q51" s="88"/>
      <c r="R51" s="88"/>
      <c r="S51" s="88"/>
      <c r="T51" s="88"/>
      <c r="U51" s="88"/>
      <c r="V51" s="88"/>
      <c r="W51" s="88"/>
      <c r="X51" s="88"/>
      <c r="Y51" s="88"/>
      <c r="Z51" s="88"/>
      <c r="AA51" s="88"/>
      <c r="AB51" s="88"/>
      <c r="AC51" s="88"/>
      <c r="AD51" s="88"/>
      <c r="AE51" s="88"/>
      <c r="AF51" s="88"/>
      <c r="AG51" s="88"/>
      <c r="AH51" s="88"/>
      <c r="AI51" s="88"/>
      <c r="AJ51" s="88"/>
      <c r="AK51" s="88"/>
      <c r="AL51" s="88"/>
      <c r="AM51" s="88"/>
      <c r="AN51" s="88"/>
      <c r="AO51" s="88"/>
      <c r="AP51" s="88"/>
      <c r="AQ51" s="88"/>
      <c r="AR51" s="88"/>
      <c r="AS51" s="90"/>
    </row>
    <row r="52" customFormat="false" ht="14.25" hidden="false" customHeight="false" outlineLevel="0" collapsed="false">
      <c r="A52" s="87"/>
      <c r="B52" s="87"/>
      <c r="C52" s="87"/>
      <c r="D52" s="87"/>
      <c r="E52" s="87"/>
      <c r="F52" s="88"/>
      <c r="G52" s="88"/>
      <c r="H52" s="88"/>
      <c r="I52" s="88"/>
      <c r="J52" s="89"/>
      <c r="K52" s="89"/>
      <c r="L52" s="88"/>
      <c r="M52" s="88"/>
      <c r="N52" s="88"/>
      <c r="O52" s="88"/>
      <c r="P52" s="88"/>
      <c r="Q52" s="88"/>
      <c r="R52" s="88"/>
      <c r="S52" s="88"/>
      <c r="T52" s="88"/>
      <c r="U52" s="88"/>
      <c r="V52" s="88"/>
      <c r="W52" s="88"/>
      <c r="X52" s="88"/>
      <c r="Y52" s="88"/>
      <c r="Z52" s="88"/>
      <c r="AA52" s="88"/>
      <c r="AB52" s="88"/>
      <c r="AC52" s="88"/>
      <c r="AD52" s="88"/>
      <c r="AE52" s="88"/>
      <c r="AF52" s="88"/>
      <c r="AG52" s="88"/>
      <c r="AH52" s="88"/>
      <c r="AI52" s="88"/>
      <c r="AJ52" s="88"/>
      <c r="AK52" s="88"/>
      <c r="AL52" s="88"/>
      <c r="AM52" s="88"/>
      <c r="AN52" s="88"/>
      <c r="AO52" s="88"/>
      <c r="AP52" s="88"/>
      <c r="AQ52" s="88"/>
      <c r="AR52" s="88"/>
      <c r="AS52" s="90"/>
    </row>
    <row r="53" customFormat="false" ht="14.25" hidden="false" customHeight="false" outlineLevel="0" collapsed="false">
      <c r="A53" s="87"/>
      <c r="B53" s="87"/>
      <c r="C53" s="87"/>
      <c r="D53" s="87"/>
      <c r="E53" s="87"/>
      <c r="F53" s="88"/>
      <c r="G53" s="88"/>
      <c r="H53" s="88"/>
      <c r="I53" s="88"/>
      <c r="J53" s="89"/>
      <c r="K53" s="89"/>
      <c r="L53" s="88"/>
      <c r="M53" s="88"/>
      <c r="N53" s="88"/>
      <c r="O53" s="88"/>
      <c r="P53" s="88"/>
      <c r="Q53" s="88"/>
      <c r="R53" s="88"/>
      <c r="S53" s="88"/>
      <c r="T53" s="88"/>
      <c r="U53" s="88"/>
      <c r="V53" s="88"/>
      <c r="W53" s="88"/>
      <c r="X53" s="88"/>
      <c r="Y53" s="88"/>
      <c r="Z53" s="88"/>
      <c r="AA53" s="88"/>
      <c r="AB53" s="88"/>
      <c r="AC53" s="88"/>
      <c r="AD53" s="88"/>
      <c r="AE53" s="88"/>
      <c r="AF53" s="88"/>
      <c r="AG53" s="88"/>
      <c r="AH53" s="88"/>
      <c r="AI53" s="88"/>
      <c r="AJ53" s="88"/>
      <c r="AK53" s="88"/>
      <c r="AL53" s="88"/>
      <c r="AM53" s="88"/>
      <c r="AN53" s="88"/>
      <c r="AO53" s="88"/>
      <c r="AP53" s="88"/>
      <c r="AQ53" s="88"/>
      <c r="AR53" s="88"/>
      <c r="AS53" s="90"/>
    </row>
    <row r="54" customFormat="false" ht="14.25" hidden="false" customHeight="false" outlineLevel="0" collapsed="false">
      <c r="A54" s="87"/>
      <c r="B54" s="87"/>
      <c r="C54" s="87"/>
      <c r="D54" s="87"/>
      <c r="E54" s="87"/>
      <c r="F54" s="88"/>
      <c r="G54" s="88"/>
      <c r="H54" s="88"/>
      <c r="I54" s="88"/>
      <c r="J54" s="89"/>
      <c r="K54" s="89"/>
      <c r="L54" s="88"/>
      <c r="M54" s="88"/>
      <c r="N54" s="88"/>
      <c r="O54" s="88"/>
      <c r="P54" s="88"/>
      <c r="Q54" s="88"/>
      <c r="R54" s="88"/>
      <c r="S54" s="88"/>
      <c r="T54" s="88"/>
      <c r="U54" s="88"/>
      <c r="V54" s="88"/>
      <c r="W54" s="88"/>
      <c r="X54" s="88"/>
      <c r="Y54" s="88"/>
      <c r="Z54" s="88"/>
      <c r="AA54" s="88"/>
      <c r="AB54" s="88"/>
      <c r="AC54" s="88"/>
      <c r="AD54" s="88"/>
      <c r="AE54" s="88"/>
      <c r="AF54" s="88"/>
      <c r="AG54" s="88"/>
      <c r="AH54" s="88"/>
      <c r="AI54" s="88"/>
      <c r="AJ54" s="88"/>
      <c r="AK54" s="88"/>
      <c r="AL54" s="88"/>
      <c r="AM54" s="88"/>
      <c r="AN54" s="88"/>
      <c r="AO54" s="88"/>
      <c r="AP54" s="88"/>
      <c r="AQ54" s="88"/>
      <c r="AR54" s="88"/>
      <c r="AS54" s="90"/>
    </row>
    <row r="55" customFormat="false" ht="14.25" hidden="false" customHeight="false" outlineLevel="0" collapsed="false">
      <c r="A55" s="87"/>
      <c r="B55" s="87"/>
      <c r="C55" s="87"/>
      <c r="D55" s="87"/>
      <c r="E55" s="87"/>
      <c r="F55" s="88"/>
      <c r="G55" s="88"/>
      <c r="H55" s="88"/>
      <c r="I55" s="88"/>
      <c r="J55" s="89"/>
      <c r="K55" s="89"/>
      <c r="L55" s="88"/>
      <c r="M55" s="88"/>
      <c r="N55" s="88"/>
      <c r="O55" s="88"/>
      <c r="P55" s="88"/>
      <c r="Q55" s="88"/>
      <c r="R55" s="88"/>
      <c r="S55" s="88"/>
      <c r="T55" s="88"/>
      <c r="U55" s="88"/>
      <c r="V55" s="88"/>
      <c r="W55" s="88"/>
      <c r="X55" s="88"/>
      <c r="Y55" s="88"/>
      <c r="Z55" s="88"/>
      <c r="AA55" s="88"/>
      <c r="AB55" s="88"/>
      <c r="AC55" s="88"/>
      <c r="AD55" s="88"/>
      <c r="AE55" s="88"/>
      <c r="AF55" s="88"/>
      <c r="AG55" s="88"/>
      <c r="AH55" s="88"/>
      <c r="AI55" s="88"/>
      <c r="AJ55" s="88"/>
      <c r="AK55" s="88"/>
      <c r="AL55" s="88"/>
      <c r="AM55" s="88"/>
      <c r="AN55" s="88"/>
      <c r="AO55" s="88"/>
      <c r="AP55" s="88"/>
      <c r="AQ55" s="88"/>
      <c r="AR55" s="88"/>
      <c r="AS55" s="90"/>
    </row>
    <row r="56" customFormat="false" ht="14.25" hidden="false" customHeight="false" outlineLevel="0" collapsed="false">
      <c r="A56" s="87"/>
      <c r="B56" s="87"/>
      <c r="C56" s="87"/>
      <c r="D56" s="87"/>
      <c r="E56" s="87"/>
      <c r="F56" s="88"/>
      <c r="G56" s="88"/>
      <c r="H56" s="88"/>
      <c r="I56" s="88"/>
      <c r="J56" s="89"/>
      <c r="K56" s="89"/>
      <c r="L56" s="88"/>
      <c r="M56" s="88"/>
      <c r="N56" s="88"/>
      <c r="O56" s="88"/>
      <c r="P56" s="88"/>
      <c r="Q56" s="88"/>
      <c r="R56" s="88"/>
      <c r="S56" s="88"/>
      <c r="T56" s="88"/>
      <c r="U56" s="88"/>
      <c r="V56" s="88"/>
      <c r="W56" s="88"/>
      <c r="X56" s="88"/>
      <c r="Y56" s="88"/>
      <c r="Z56" s="88"/>
      <c r="AA56" s="88"/>
      <c r="AB56" s="88"/>
      <c r="AC56" s="88"/>
      <c r="AD56" s="88"/>
      <c r="AE56" s="88"/>
      <c r="AF56" s="88"/>
      <c r="AG56" s="88"/>
      <c r="AH56" s="88"/>
      <c r="AI56" s="88"/>
      <c r="AJ56" s="88"/>
      <c r="AK56" s="88"/>
      <c r="AL56" s="88"/>
      <c r="AM56" s="88"/>
      <c r="AN56" s="88"/>
      <c r="AO56" s="88"/>
      <c r="AP56" s="88"/>
      <c r="AQ56" s="88"/>
      <c r="AR56" s="88"/>
      <c r="AS56" s="90"/>
    </row>
    <row r="57" customFormat="false" ht="14.25" hidden="false" customHeight="false" outlineLevel="0" collapsed="false">
      <c r="A57" s="87"/>
      <c r="B57" s="87"/>
      <c r="C57" s="87"/>
      <c r="D57" s="87"/>
      <c r="E57" s="87"/>
    </row>
    <row r="58" customFormat="false" ht="14.25" hidden="false" customHeight="false" outlineLevel="0" collapsed="false">
      <c r="A58" s="87"/>
      <c r="B58" s="87"/>
      <c r="C58" s="87"/>
      <c r="D58" s="87"/>
      <c r="E58" s="87"/>
    </row>
    <row r="59" customFormat="false" ht="14.25" hidden="false" customHeight="false" outlineLevel="0" collapsed="false">
      <c r="A59" s="87"/>
      <c r="B59" s="87"/>
      <c r="C59" s="87"/>
      <c r="D59" s="87"/>
      <c r="E59" s="87"/>
    </row>
    <row r="60" customFormat="false" ht="14.25" hidden="false" customHeight="false" outlineLevel="0" collapsed="false">
      <c r="A60" s="87"/>
      <c r="B60" s="87"/>
      <c r="C60" s="87"/>
      <c r="D60" s="87"/>
      <c r="E60" s="87"/>
    </row>
    <row r="61" customFormat="false" ht="14.25" hidden="false" customHeight="false" outlineLevel="0" collapsed="false">
      <c r="A61" s="87"/>
      <c r="B61" s="87"/>
      <c r="C61" s="87"/>
      <c r="D61" s="87"/>
      <c r="E61" s="87"/>
    </row>
    <row r="62" customFormat="false" ht="14.25" hidden="false" customHeight="false" outlineLevel="0" collapsed="false">
      <c r="A62" s="87"/>
      <c r="B62" s="87"/>
      <c r="C62" s="87"/>
      <c r="D62" s="87"/>
      <c r="E62" s="87"/>
    </row>
    <row r="63" customFormat="false" ht="14.25" hidden="false" customHeight="false" outlineLevel="0" collapsed="false">
      <c r="A63" s="87"/>
      <c r="B63" s="87"/>
      <c r="C63" s="87"/>
      <c r="D63" s="87"/>
      <c r="E63" s="87"/>
    </row>
    <row r="64" customFormat="false" ht="14.25" hidden="false" customHeight="false" outlineLevel="0" collapsed="false">
      <c r="A64" s="87"/>
      <c r="B64" s="87"/>
      <c r="C64" s="87"/>
      <c r="D64" s="87"/>
      <c r="E64" s="87"/>
    </row>
    <row r="65" customFormat="false" ht="14.25" hidden="false" customHeight="false" outlineLevel="0" collapsed="false">
      <c r="A65" s="87"/>
      <c r="B65" s="87"/>
      <c r="C65" s="87"/>
      <c r="D65" s="87"/>
      <c r="E65" s="87"/>
    </row>
    <row r="66" customFormat="false" ht="14.25" hidden="false" customHeight="false" outlineLevel="0" collapsed="false">
      <c r="A66" s="87"/>
      <c r="B66" s="87"/>
      <c r="C66" s="87"/>
      <c r="D66" s="87"/>
      <c r="E66" s="87"/>
    </row>
    <row r="67" customFormat="false" ht="14.25" hidden="false" customHeight="false" outlineLevel="0" collapsed="false">
      <c r="A67" s="87"/>
      <c r="B67" s="87"/>
      <c r="C67" s="87"/>
      <c r="D67" s="87"/>
      <c r="E67" s="87"/>
    </row>
    <row r="68" customFormat="false" ht="14.25" hidden="false" customHeight="false" outlineLevel="0" collapsed="false">
      <c r="A68" s="87"/>
      <c r="B68" s="87"/>
      <c r="C68" s="87"/>
      <c r="D68" s="87"/>
      <c r="E68" s="87"/>
    </row>
    <row r="69" customFormat="false" ht="14.25" hidden="false" customHeight="false" outlineLevel="0" collapsed="false">
      <c r="A69" s="87"/>
      <c r="B69" s="87"/>
      <c r="C69" s="87"/>
      <c r="D69" s="87"/>
      <c r="E69" s="87"/>
    </row>
    <row r="70" customFormat="false" ht="14.25" hidden="false" customHeight="false" outlineLevel="0" collapsed="false">
      <c r="A70" s="87"/>
      <c r="B70" s="87"/>
      <c r="C70" s="87"/>
      <c r="D70" s="87"/>
      <c r="E70" s="87"/>
    </row>
    <row r="71" customFormat="false" ht="14.25" hidden="false" customHeight="false" outlineLevel="0" collapsed="false">
      <c r="A71" s="87"/>
      <c r="B71" s="87"/>
      <c r="C71" s="87"/>
      <c r="D71" s="87"/>
      <c r="E71" s="87"/>
    </row>
    <row r="72" customFormat="false" ht="14.25" hidden="false" customHeight="false" outlineLevel="0" collapsed="false">
      <c r="A72" s="87"/>
      <c r="B72" s="87"/>
      <c r="C72" s="87"/>
      <c r="D72" s="87"/>
      <c r="E72" s="87"/>
    </row>
    <row r="73" customFormat="false" ht="14.25" hidden="false" customHeight="false" outlineLevel="0" collapsed="false">
      <c r="A73" s="87"/>
      <c r="B73" s="87"/>
      <c r="C73" s="87"/>
      <c r="D73" s="87"/>
      <c r="E73" s="87"/>
    </row>
    <row r="74" customFormat="false" ht="14.25" hidden="false" customHeight="false" outlineLevel="0" collapsed="false">
      <c r="A74" s="87"/>
      <c r="B74" s="87"/>
      <c r="C74" s="87"/>
      <c r="D74" s="87"/>
      <c r="E74" s="87"/>
    </row>
    <row r="75" customFormat="false" ht="14.25" hidden="false" customHeight="false" outlineLevel="0" collapsed="false">
      <c r="A75" s="87"/>
      <c r="B75" s="87"/>
      <c r="C75" s="87"/>
      <c r="D75" s="87"/>
      <c r="E75" s="87"/>
    </row>
    <row r="76" customFormat="false" ht="14.25" hidden="false" customHeight="false" outlineLevel="0" collapsed="false">
      <c r="A76" s="87"/>
      <c r="B76" s="87"/>
      <c r="C76" s="87"/>
      <c r="D76" s="87"/>
      <c r="E76" s="87"/>
    </row>
    <row r="77" customFormat="false" ht="14.25" hidden="false" customHeight="false" outlineLevel="0" collapsed="false">
      <c r="A77" s="87"/>
      <c r="B77" s="87"/>
      <c r="C77" s="87"/>
      <c r="D77" s="87"/>
      <c r="E77" s="87"/>
    </row>
    <row r="78" customFormat="false" ht="14.25" hidden="false" customHeight="false" outlineLevel="0" collapsed="false">
      <c r="A78" s="87"/>
      <c r="B78" s="87"/>
      <c r="C78" s="87"/>
      <c r="D78" s="87"/>
      <c r="E78" s="87"/>
    </row>
    <row r="79" customFormat="false" ht="14.25" hidden="false" customHeight="false" outlineLevel="0" collapsed="false">
      <c r="A79" s="87"/>
      <c r="B79" s="87"/>
      <c r="C79" s="87"/>
      <c r="D79" s="87"/>
      <c r="E79" s="87"/>
    </row>
    <row r="80" customFormat="false" ht="14.25" hidden="false" customHeight="false" outlineLevel="0" collapsed="false">
      <c r="A80" s="87"/>
      <c r="B80" s="87"/>
      <c r="C80" s="87"/>
      <c r="D80" s="87"/>
      <c r="E80" s="87"/>
    </row>
    <row r="81" customFormat="false" ht="14.25" hidden="false" customHeight="false" outlineLevel="0" collapsed="false">
      <c r="A81" s="87"/>
      <c r="B81" s="87"/>
      <c r="C81" s="87"/>
      <c r="D81" s="87"/>
      <c r="E81" s="87"/>
    </row>
    <row r="82" customFormat="false" ht="14.25" hidden="false" customHeight="false" outlineLevel="0" collapsed="false">
      <c r="A82" s="87"/>
      <c r="B82" s="87"/>
      <c r="C82" s="87"/>
      <c r="D82" s="87"/>
      <c r="E82" s="87"/>
    </row>
    <row r="83" customFormat="false" ht="14.25" hidden="false" customHeight="false" outlineLevel="0" collapsed="false">
      <c r="A83" s="87"/>
      <c r="B83" s="87"/>
      <c r="C83" s="87"/>
      <c r="D83" s="87"/>
      <c r="E83" s="87"/>
    </row>
    <row r="84" customFormat="false" ht="14.25" hidden="false" customHeight="false" outlineLevel="0" collapsed="false">
      <c r="A84" s="87"/>
      <c r="B84" s="87"/>
      <c r="C84" s="87"/>
      <c r="D84" s="87"/>
      <c r="E84" s="87"/>
    </row>
    <row r="85" customFormat="false" ht="14.25" hidden="false" customHeight="false" outlineLevel="0" collapsed="false">
      <c r="A85" s="87"/>
      <c r="B85" s="87"/>
      <c r="C85" s="87"/>
      <c r="D85" s="87"/>
      <c r="E85" s="87"/>
    </row>
    <row r="86" customFormat="false" ht="14.25" hidden="false" customHeight="false" outlineLevel="0" collapsed="false">
      <c r="A86" s="87"/>
      <c r="B86" s="87"/>
      <c r="C86" s="87"/>
      <c r="D86" s="87"/>
      <c r="E86" s="87"/>
    </row>
    <row r="87" customFormat="false" ht="14.25" hidden="false" customHeight="false" outlineLevel="0" collapsed="false">
      <c r="A87" s="87"/>
      <c r="B87" s="87"/>
      <c r="C87" s="87"/>
      <c r="D87" s="87"/>
      <c r="E87" s="87"/>
    </row>
    <row r="88" customFormat="false" ht="14.25" hidden="false" customHeight="false" outlineLevel="0" collapsed="false">
      <c r="A88" s="87"/>
      <c r="B88" s="87"/>
      <c r="C88" s="87"/>
      <c r="D88" s="87"/>
      <c r="E88" s="87"/>
    </row>
    <row r="89" customFormat="false" ht="14.25" hidden="false" customHeight="false" outlineLevel="0" collapsed="false">
      <c r="A89" s="87"/>
      <c r="B89" s="87"/>
      <c r="C89" s="87"/>
      <c r="D89" s="87"/>
      <c r="E89" s="87"/>
    </row>
    <row r="90" customFormat="false" ht="14.25" hidden="false" customHeight="false" outlineLevel="0" collapsed="false">
      <c r="A90" s="87"/>
      <c r="B90" s="87"/>
      <c r="C90" s="87"/>
      <c r="D90" s="87"/>
      <c r="E90" s="87"/>
    </row>
    <row r="91" customFormat="false" ht="14.25" hidden="false" customHeight="false" outlineLevel="0" collapsed="false">
      <c r="A91" s="87"/>
      <c r="B91" s="87"/>
      <c r="C91" s="87"/>
      <c r="D91" s="87"/>
      <c r="E91" s="87"/>
    </row>
    <row r="92" customFormat="false" ht="14.25" hidden="false" customHeight="false" outlineLevel="0" collapsed="false">
      <c r="A92" s="87"/>
      <c r="B92" s="87"/>
      <c r="C92" s="87"/>
      <c r="D92" s="87"/>
      <c r="E92" s="87"/>
    </row>
    <row r="93" customFormat="false" ht="14.25" hidden="false" customHeight="false" outlineLevel="0" collapsed="false">
      <c r="A93" s="87"/>
      <c r="B93" s="87"/>
      <c r="C93" s="87"/>
      <c r="D93" s="87"/>
      <c r="E93" s="87"/>
    </row>
    <row r="94" customFormat="false" ht="14.25" hidden="false" customHeight="false" outlineLevel="0" collapsed="false">
      <c r="A94" s="87"/>
      <c r="B94" s="87"/>
      <c r="C94" s="87"/>
      <c r="D94" s="87"/>
      <c r="E94" s="87"/>
    </row>
    <row r="95" customFormat="false" ht="14.25" hidden="false" customHeight="false" outlineLevel="0" collapsed="false">
      <c r="A95" s="87"/>
      <c r="B95" s="87"/>
      <c r="C95" s="87"/>
      <c r="D95" s="87"/>
      <c r="E95" s="87"/>
    </row>
    <row r="96" customFormat="false" ht="14.25" hidden="false" customHeight="false" outlineLevel="0" collapsed="false">
      <c r="A96" s="87"/>
      <c r="B96" s="87"/>
      <c r="C96" s="87"/>
      <c r="D96" s="87"/>
      <c r="E96" s="87"/>
    </row>
    <row r="97" customFormat="false" ht="14.25" hidden="false" customHeight="false" outlineLevel="0" collapsed="false">
      <c r="A97" s="87"/>
      <c r="B97" s="87"/>
      <c r="C97" s="87"/>
      <c r="D97" s="87"/>
      <c r="E97" s="87"/>
    </row>
    <row r="98" customFormat="false" ht="14.25" hidden="false" customHeight="false" outlineLevel="0" collapsed="false">
      <c r="A98" s="87"/>
      <c r="B98" s="87"/>
      <c r="C98" s="87"/>
      <c r="D98" s="87"/>
      <c r="E98" s="87"/>
    </row>
    <row r="99" customFormat="false" ht="14.25" hidden="false" customHeight="false" outlineLevel="0" collapsed="false">
      <c r="A99" s="87"/>
      <c r="B99" s="87"/>
      <c r="C99" s="87"/>
      <c r="D99" s="87"/>
      <c r="E99" s="87"/>
    </row>
    <row r="100" customFormat="false" ht="14.25" hidden="false" customHeight="false" outlineLevel="0" collapsed="false">
      <c r="A100" s="87"/>
      <c r="B100" s="87"/>
      <c r="C100" s="87"/>
      <c r="D100" s="87"/>
      <c r="E100" s="87"/>
    </row>
    <row r="101" customFormat="false" ht="14.25" hidden="false" customHeight="false" outlineLevel="0" collapsed="false">
      <c r="A101" s="87"/>
      <c r="B101" s="87"/>
      <c r="C101" s="87"/>
      <c r="D101" s="87"/>
      <c r="E101" s="87"/>
    </row>
    <row r="102" customFormat="false" ht="14.25" hidden="false" customHeight="false" outlineLevel="0" collapsed="false">
      <c r="A102" s="87"/>
      <c r="B102" s="87"/>
      <c r="C102" s="87"/>
      <c r="D102" s="87"/>
      <c r="E102" s="87"/>
    </row>
    <row r="103" customFormat="false" ht="14.25" hidden="false" customHeight="false" outlineLevel="0" collapsed="false">
      <c r="A103" s="87"/>
      <c r="B103" s="87"/>
      <c r="C103" s="87"/>
      <c r="D103" s="87"/>
      <c r="E103" s="87"/>
    </row>
    <row r="104" customFormat="false" ht="14.25" hidden="false" customHeight="false" outlineLevel="0" collapsed="false">
      <c r="A104" s="87"/>
      <c r="B104" s="87"/>
      <c r="C104" s="87"/>
      <c r="D104" s="87"/>
      <c r="E104" s="87"/>
    </row>
    <row r="105" customFormat="false" ht="14.25" hidden="false" customHeight="false" outlineLevel="0" collapsed="false">
      <c r="A105" s="87"/>
      <c r="B105" s="87"/>
      <c r="C105" s="87"/>
      <c r="D105" s="87"/>
      <c r="E105" s="87"/>
    </row>
    <row r="106" customFormat="false" ht="14.25" hidden="false" customHeight="false" outlineLevel="0" collapsed="false">
      <c r="A106" s="87"/>
      <c r="B106" s="87"/>
      <c r="C106" s="87"/>
      <c r="D106" s="87"/>
      <c r="E106" s="87"/>
    </row>
    <row r="107" customFormat="false" ht="14.25" hidden="false" customHeight="false" outlineLevel="0" collapsed="false">
      <c r="A107" s="87"/>
      <c r="B107" s="87"/>
      <c r="C107" s="87"/>
      <c r="D107" s="87"/>
      <c r="E107" s="87"/>
    </row>
    <row r="108" customFormat="false" ht="14.25" hidden="false" customHeight="false" outlineLevel="0" collapsed="false">
      <c r="A108" s="87"/>
      <c r="B108" s="87"/>
      <c r="C108" s="87"/>
      <c r="D108" s="87"/>
      <c r="E108" s="87"/>
    </row>
    <row r="109" customFormat="false" ht="14.25" hidden="false" customHeight="false" outlineLevel="0" collapsed="false">
      <c r="A109" s="87"/>
      <c r="B109" s="87"/>
      <c r="C109" s="87"/>
      <c r="D109" s="87"/>
      <c r="E109" s="87"/>
    </row>
    <row r="110" customFormat="false" ht="14.25" hidden="false" customHeight="false" outlineLevel="0" collapsed="false">
      <c r="A110" s="87"/>
      <c r="B110" s="87"/>
      <c r="C110" s="87"/>
      <c r="D110" s="87"/>
      <c r="E110" s="87"/>
    </row>
    <row r="111" customFormat="false" ht="14.25" hidden="false" customHeight="false" outlineLevel="0" collapsed="false">
      <c r="A111" s="87"/>
      <c r="B111" s="87"/>
      <c r="C111" s="87"/>
      <c r="D111" s="87"/>
      <c r="E111" s="87"/>
    </row>
    <row r="112" customFormat="false" ht="14.25" hidden="false" customHeight="false" outlineLevel="0" collapsed="false">
      <c r="A112" s="87"/>
      <c r="B112" s="87"/>
      <c r="C112" s="87"/>
      <c r="D112" s="87"/>
      <c r="E112" s="87"/>
    </row>
    <row r="113" customFormat="false" ht="14.25" hidden="false" customHeight="false" outlineLevel="0" collapsed="false">
      <c r="A113" s="87"/>
      <c r="B113" s="87"/>
      <c r="C113" s="87"/>
      <c r="D113" s="87"/>
      <c r="E113" s="87"/>
    </row>
    <row r="114" customFormat="false" ht="14.25" hidden="false" customHeight="false" outlineLevel="0" collapsed="false">
      <c r="A114" s="87"/>
      <c r="B114" s="87"/>
      <c r="C114" s="87"/>
      <c r="D114" s="87"/>
      <c r="E114" s="87"/>
    </row>
    <row r="115" customFormat="false" ht="14.25" hidden="false" customHeight="false" outlineLevel="0" collapsed="false">
      <c r="A115" s="87"/>
      <c r="B115" s="87"/>
      <c r="C115" s="87"/>
      <c r="D115" s="87"/>
      <c r="E115" s="87"/>
    </row>
    <row r="116" customFormat="false" ht="14.25" hidden="false" customHeight="false" outlineLevel="0" collapsed="false">
      <c r="A116" s="87"/>
      <c r="B116" s="87"/>
      <c r="C116" s="87"/>
      <c r="D116" s="87"/>
      <c r="E116" s="87"/>
    </row>
    <row r="117" customFormat="false" ht="14.25" hidden="false" customHeight="false" outlineLevel="0" collapsed="false">
      <c r="A117" s="87"/>
      <c r="B117" s="87"/>
      <c r="C117" s="87"/>
      <c r="D117" s="87"/>
      <c r="E117" s="87"/>
    </row>
    <row r="118" customFormat="false" ht="14.25" hidden="false" customHeight="false" outlineLevel="0" collapsed="false">
      <c r="A118" s="87"/>
      <c r="B118" s="87"/>
      <c r="C118" s="87"/>
      <c r="D118" s="87"/>
      <c r="E118" s="87"/>
    </row>
    <row r="119" customFormat="false" ht="14.25" hidden="false" customHeight="false" outlineLevel="0" collapsed="false">
      <c r="A119" s="87"/>
      <c r="B119" s="87"/>
      <c r="C119" s="87"/>
      <c r="D119" s="87"/>
      <c r="E119" s="87"/>
    </row>
    <row r="120" customFormat="false" ht="14.25" hidden="false" customHeight="false" outlineLevel="0" collapsed="false">
      <c r="A120" s="87"/>
      <c r="B120" s="87"/>
      <c r="C120" s="87"/>
      <c r="D120" s="87"/>
      <c r="E120" s="87"/>
    </row>
    <row r="121" customFormat="false" ht="14.25" hidden="false" customHeight="false" outlineLevel="0" collapsed="false">
      <c r="A121" s="87"/>
      <c r="B121" s="87"/>
      <c r="C121" s="87"/>
      <c r="D121" s="87"/>
      <c r="E121" s="87"/>
    </row>
    <row r="122" customFormat="false" ht="14.25" hidden="false" customHeight="false" outlineLevel="0" collapsed="false">
      <c r="A122" s="87"/>
      <c r="B122" s="87"/>
      <c r="C122" s="87"/>
      <c r="D122" s="87"/>
      <c r="E122" s="87"/>
    </row>
    <row r="123" customFormat="false" ht="14.25" hidden="false" customHeight="false" outlineLevel="0" collapsed="false">
      <c r="A123" s="87"/>
      <c r="B123" s="87"/>
      <c r="C123" s="87"/>
      <c r="D123" s="87"/>
      <c r="E123" s="87"/>
    </row>
    <row r="124" customFormat="false" ht="14.25" hidden="false" customHeight="false" outlineLevel="0" collapsed="false">
      <c r="A124" s="87"/>
      <c r="B124" s="87"/>
      <c r="C124" s="87"/>
      <c r="D124" s="87"/>
      <c r="E124" s="87"/>
    </row>
    <row r="125" customFormat="false" ht="14.25" hidden="false" customHeight="false" outlineLevel="0" collapsed="false">
      <c r="A125" s="87"/>
      <c r="B125" s="87"/>
      <c r="C125" s="87"/>
      <c r="D125" s="87"/>
      <c r="E125" s="87"/>
    </row>
    <row r="126" customFormat="false" ht="14.25" hidden="false" customHeight="false" outlineLevel="0" collapsed="false">
      <c r="A126" s="87"/>
      <c r="B126" s="87"/>
      <c r="C126" s="87"/>
      <c r="D126" s="87"/>
      <c r="E126" s="87"/>
    </row>
    <row r="127" customFormat="false" ht="14.25" hidden="false" customHeight="false" outlineLevel="0" collapsed="false">
      <c r="A127" s="87"/>
      <c r="B127" s="87"/>
      <c r="C127" s="87"/>
      <c r="D127" s="87"/>
      <c r="E127" s="87"/>
    </row>
    <row r="128" customFormat="false" ht="14.25" hidden="false" customHeight="false" outlineLevel="0" collapsed="false">
      <c r="A128" s="87"/>
      <c r="B128" s="87"/>
      <c r="C128" s="87"/>
      <c r="D128" s="87"/>
      <c r="E128" s="87"/>
    </row>
    <row r="129" customFormat="false" ht="14.25" hidden="false" customHeight="false" outlineLevel="0" collapsed="false">
      <c r="A129" s="87"/>
      <c r="B129" s="87"/>
      <c r="C129" s="87"/>
      <c r="D129" s="87"/>
      <c r="E129" s="87"/>
    </row>
    <row r="130" customFormat="false" ht="14.25" hidden="false" customHeight="false" outlineLevel="0" collapsed="false">
      <c r="A130" s="87"/>
      <c r="B130" s="87"/>
      <c r="C130" s="87"/>
      <c r="D130" s="87"/>
      <c r="E130" s="87"/>
    </row>
    <row r="131" customFormat="false" ht="14.25" hidden="false" customHeight="false" outlineLevel="0" collapsed="false">
      <c r="A131" s="87"/>
      <c r="B131" s="87"/>
      <c r="C131" s="87"/>
      <c r="D131" s="87"/>
      <c r="E131" s="87"/>
    </row>
    <row r="132" customFormat="false" ht="14.25" hidden="false" customHeight="false" outlineLevel="0" collapsed="false">
      <c r="A132" s="87"/>
      <c r="B132" s="87"/>
      <c r="C132" s="87"/>
      <c r="D132" s="87"/>
      <c r="E132" s="87"/>
    </row>
    <row r="133" customFormat="false" ht="14.25" hidden="false" customHeight="false" outlineLevel="0" collapsed="false">
      <c r="A133" s="87"/>
      <c r="B133" s="87"/>
      <c r="C133" s="87"/>
      <c r="D133" s="87"/>
      <c r="E133" s="87"/>
    </row>
    <row r="134" customFormat="false" ht="14.25" hidden="false" customHeight="false" outlineLevel="0" collapsed="false">
      <c r="A134" s="87"/>
      <c r="B134" s="87"/>
      <c r="C134" s="87"/>
      <c r="D134" s="87"/>
      <c r="E134" s="87"/>
    </row>
    <row r="135" customFormat="false" ht="14.25" hidden="false" customHeight="false" outlineLevel="0" collapsed="false">
      <c r="A135" s="87"/>
      <c r="B135" s="87"/>
      <c r="C135" s="87"/>
      <c r="D135" s="87"/>
      <c r="E135" s="87"/>
    </row>
    <row r="136" customFormat="false" ht="14.25" hidden="false" customHeight="false" outlineLevel="0" collapsed="false">
      <c r="A136" s="87"/>
      <c r="B136" s="87"/>
      <c r="C136" s="87"/>
      <c r="D136" s="87"/>
      <c r="E136" s="87"/>
    </row>
    <row r="137" customFormat="false" ht="14.25" hidden="false" customHeight="false" outlineLevel="0" collapsed="false">
      <c r="A137" s="87"/>
      <c r="B137" s="87"/>
      <c r="C137" s="87"/>
      <c r="D137" s="87"/>
      <c r="E137" s="87"/>
    </row>
    <row r="138" customFormat="false" ht="14.25" hidden="false" customHeight="false" outlineLevel="0" collapsed="false">
      <c r="A138" s="87"/>
      <c r="B138" s="87"/>
      <c r="C138" s="87"/>
      <c r="D138" s="87"/>
      <c r="E138" s="87"/>
    </row>
    <row r="139" customFormat="false" ht="14.25" hidden="false" customHeight="false" outlineLevel="0" collapsed="false">
      <c r="A139" s="87"/>
      <c r="B139" s="87"/>
      <c r="C139" s="87"/>
      <c r="D139" s="87"/>
      <c r="E139" s="87"/>
    </row>
    <row r="140" customFormat="false" ht="14.25" hidden="false" customHeight="false" outlineLevel="0" collapsed="false">
      <c r="A140" s="87"/>
      <c r="B140" s="87"/>
      <c r="C140" s="87"/>
      <c r="D140" s="87"/>
      <c r="E140" s="87"/>
    </row>
    <row r="141" customFormat="false" ht="14.25" hidden="false" customHeight="false" outlineLevel="0" collapsed="false">
      <c r="A141" s="87"/>
      <c r="B141" s="87"/>
      <c r="C141" s="87"/>
      <c r="D141" s="87"/>
      <c r="E141" s="87"/>
    </row>
    <row r="142" customFormat="false" ht="14.25" hidden="false" customHeight="false" outlineLevel="0" collapsed="false">
      <c r="A142" s="87"/>
      <c r="B142" s="87"/>
      <c r="C142" s="87"/>
      <c r="D142" s="87"/>
      <c r="E142" s="87"/>
    </row>
    <row r="143" customFormat="false" ht="14.25" hidden="false" customHeight="false" outlineLevel="0" collapsed="false">
      <c r="A143" s="87"/>
      <c r="B143" s="87"/>
      <c r="C143" s="87"/>
      <c r="D143" s="87"/>
      <c r="E143" s="87"/>
    </row>
    <row r="144" customFormat="false" ht="14.25" hidden="false" customHeight="false" outlineLevel="0" collapsed="false">
      <c r="A144" s="87"/>
      <c r="B144" s="87"/>
      <c r="C144" s="87"/>
      <c r="D144" s="87"/>
      <c r="E144" s="87"/>
    </row>
    <row r="145" customFormat="false" ht="14.25" hidden="false" customHeight="false" outlineLevel="0" collapsed="false">
      <c r="A145" s="87"/>
      <c r="B145" s="87"/>
      <c r="C145" s="87"/>
      <c r="D145" s="87"/>
      <c r="E145" s="87"/>
    </row>
    <row r="146" customFormat="false" ht="14.25" hidden="false" customHeight="false" outlineLevel="0" collapsed="false">
      <c r="A146" s="87"/>
      <c r="B146" s="87"/>
      <c r="C146" s="87"/>
      <c r="D146" s="87"/>
      <c r="E146" s="87"/>
    </row>
    <row r="147" customFormat="false" ht="14.25" hidden="false" customHeight="false" outlineLevel="0" collapsed="false">
      <c r="A147" s="87"/>
      <c r="B147" s="87"/>
      <c r="C147" s="87"/>
      <c r="D147" s="87"/>
      <c r="E147" s="87"/>
    </row>
    <row r="148" customFormat="false" ht="14.25" hidden="false" customHeight="false" outlineLevel="0" collapsed="false">
      <c r="A148" s="87"/>
      <c r="B148" s="87"/>
      <c r="C148" s="87"/>
      <c r="D148" s="87"/>
      <c r="E148" s="87"/>
    </row>
    <row r="149" customFormat="false" ht="14.25" hidden="false" customHeight="false" outlineLevel="0" collapsed="false">
      <c r="A149" s="87"/>
      <c r="B149" s="87"/>
      <c r="C149" s="87"/>
      <c r="D149" s="87"/>
      <c r="E149" s="87"/>
    </row>
    <row r="150" customFormat="false" ht="14.25" hidden="false" customHeight="false" outlineLevel="0" collapsed="false">
      <c r="A150" s="87"/>
      <c r="B150" s="87"/>
      <c r="C150" s="87"/>
      <c r="D150" s="87"/>
      <c r="E150" s="87"/>
    </row>
    <row r="151" customFormat="false" ht="14.25" hidden="false" customHeight="false" outlineLevel="0" collapsed="false">
      <c r="A151" s="87"/>
      <c r="B151" s="87"/>
      <c r="C151" s="87"/>
      <c r="D151" s="87"/>
      <c r="E151" s="87"/>
    </row>
    <row r="152" customFormat="false" ht="14.25" hidden="false" customHeight="false" outlineLevel="0" collapsed="false">
      <c r="A152" s="87"/>
      <c r="B152" s="87"/>
      <c r="C152" s="87"/>
      <c r="D152" s="87"/>
      <c r="E152" s="87"/>
    </row>
    <row r="153" customFormat="false" ht="14.25" hidden="false" customHeight="false" outlineLevel="0" collapsed="false">
      <c r="A153" s="87"/>
      <c r="B153" s="87"/>
      <c r="C153" s="87"/>
      <c r="D153" s="87"/>
      <c r="E153" s="87"/>
    </row>
    <row r="154" customFormat="false" ht="14.25" hidden="false" customHeight="false" outlineLevel="0" collapsed="false">
      <c r="A154" s="87"/>
      <c r="B154" s="87"/>
      <c r="C154" s="87"/>
      <c r="D154" s="87"/>
      <c r="E154" s="87"/>
    </row>
    <row r="155" customFormat="false" ht="14.25" hidden="false" customHeight="false" outlineLevel="0" collapsed="false">
      <c r="A155" s="87"/>
      <c r="B155" s="87"/>
      <c r="C155" s="87"/>
      <c r="D155" s="87"/>
      <c r="E155" s="87"/>
    </row>
    <row r="156" customFormat="false" ht="14.25" hidden="false" customHeight="false" outlineLevel="0" collapsed="false">
      <c r="A156" s="87"/>
      <c r="B156" s="87"/>
      <c r="C156" s="87"/>
      <c r="D156" s="87"/>
      <c r="E156" s="87"/>
    </row>
    <row r="157" customFormat="false" ht="14.25" hidden="false" customHeight="false" outlineLevel="0" collapsed="false">
      <c r="A157" s="87"/>
      <c r="B157" s="87"/>
      <c r="C157" s="87"/>
      <c r="D157" s="87"/>
      <c r="E157" s="87"/>
    </row>
    <row r="158" customFormat="false" ht="14.25" hidden="false" customHeight="false" outlineLevel="0" collapsed="false">
      <c r="A158" s="87"/>
      <c r="B158" s="87"/>
      <c r="C158" s="87"/>
      <c r="D158" s="87"/>
      <c r="E158" s="87"/>
    </row>
    <row r="159" customFormat="false" ht="14.25" hidden="false" customHeight="false" outlineLevel="0" collapsed="false">
      <c r="A159" s="87"/>
      <c r="B159" s="87"/>
      <c r="C159" s="87"/>
      <c r="D159" s="87"/>
      <c r="E159" s="87"/>
    </row>
    <row r="160" customFormat="false" ht="14.25" hidden="false" customHeight="false" outlineLevel="0" collapsed="false">
      <c r="A160" s="87"/>
      <c r="B160" s="87"/>
      <c r="C160" s="87"/>
      <c r="D160" s="87"/>
      <c r="E160" s="87"/>
    </row>
    <row r="161" customFormat="false" ht="14.25" hidden="false" customHeight="false" outlineLevel="0" collapsed="false">
      <c r="A161" s="87"/>
      <c r="B161" s="87"/>
      <c r="C161" s="87"/>
      <c r="D161" s="87"/>
      <c r="E161" s="87"/>
    </row>
    <row r="162" customFormat="false" ht="14.25" hidden="false" customHeight="false" outlineLevel="0" collapsed="false">
      <c r="A162" s="87"/>
      <c r="B162" s="87"/>
      <c r="C162" s="87"/>
      <c r="D162" s="87"/>
      <c r="E162" s="87"/>
    </row>
    <row r="163" customFormat="false" ht="14.25" hidden="false" customHeight="false" outlineLevel="0" collapsed="false">
      <c r="A163" s="87"/>
      <c r="B163" s="87"/>
      <c r="C163" s="87"/>
      <c r="D163" s="87"/>
      <c r="E163" s="87"/>
    </row>
    <row r="164" customFormat="false" ht="14.25" hidden="false" customHeight="false" outlineLevel="0" collapsed="false">
      <c r="A164" s="87"/>
      <c r="B164" s="87"/>
      <c r="C164" s="87"/>
      <c r="D164" s="87"/>
      <c r="E164" s="87"/>
    </row>
    <row r="165" customFormat="false" ht="14.25" hidden="false" customHeight="false" outlineLevel="0" collapsed="false">
      <c r="A165" s="87"/>
      <c r="B165" s="87"/>
      <c r="C165" s="87"/>
      <c r="D165" s="87"/>
      <c r="E165" s="87"/>
    </row>
    <row r="166" customFormat="false" ht="14.25" hidden="false" customHeight="false" outlineLevel="0" collapsed="false">
      <c r="A166" s="87"/>
      <c r="B166" s="87"/>
      <c r="C166" s="87"/>
      <c r="D166" s="87"/>
      <c r="E166" s="87"/>
    </row>
    <row r="167" customFormat="false" ht="14.25" hidden="false" customHeight="false" outlineLevel="0" collapsed="false">
      <c r="A167" s="87"/>
      <c r="B167" s="87"/>
      <c r="C167" s="87"/>
      <c r="D167" s="87"/>
      <c r="E167" s="87"/>
    </row>
    <row r="168" customFormat="false" ht="14.25" hidden="false" customHeight="false" outlineLevel="0" collapsed="false">
      <c r="A168" s="87"/>
      <c r="B168" s="87"/>
      <c r="C168" s="87"/>
      <c r="D168" s="87"/>
      <c r="E168" s="87"/>
    </row>
    <row r="169" customFormat="false" ht="14.25" hidden="false" customHeight="false" outlineLevel="0" collapsed="false">
      <c r="A169" s="87"/>
      <c r="B169" s="87"/>
      <c r="C169" s="87"/>
      <c r="D169" s="87"/>
      <c r="E169" s="87"/>
    </row>
    <row r="170" customFormat="false" ht="14.25" hidden="false" customHeight="false" outlineLevel="0" collapsed="false">
      <c r="A170" s="87"/>
      <c r="B170" s="87"/>
      <c r="C170" s="87"/>
      <c r="D170" s="87"/>
      <c r="E170" s="87"/>
    </row>
    <row r="171" customFormat="false" ht="14.25" hidden="false" customHeight="false" outlineLevel="0" collapsed="false">
      <c r="A171" s="87"/>
      <c r="B171" s="87"/>
      <c r="C171" s="87"/>
      <c r="D171" s="87"/>
      <c r="E171" s="87"/>
    </row>
    <row r="172" customFormat="false" ht="14.25" hidden="false" customHeight="false" outlineLevel="0" collapsed="false">
      <c r="A172" s="87"/>
      <c r="B172" s="87"/>
      <c r="C172" s="87"/>
      <c r="D172" s="87"/>
      <c r="E172" s="87"/>
    </row>
    <row r="173" customFormat="false" ht="14.25" hidden="false" customHeight="false" outlineLevel="0" collapsed="false">
      <c r="A173" s="87"/>
      <c r="B173" s="87"/>
      <c r="C173" s="87"/>
      <c r="D173" s="87"/>
      <c r="E173" s="87"/>
    </row>
    <row r="174" customFormat="false" ht="14.25" hidden="false" customHeight="false" outlineLevel="0" collapsed="false">
      <c r="A174" s="87"/>
      <c r="B174" s="87"/>
      <c r="C174" s="87"/>
      <c r="D174" s="87"/>
      <c r="E174" s="87"/>
    </row>
    <row r="175" customFormat="false" ht="14.25" hidden="false" customHeight="false" outlineLevel="0" collapsed="false">
      <c r="A175" s="87"/>
      <c r="B175" s="87"/>
      <c r="C175" s="87"/>
      <c r="D175" s="87"/>
      <c r="E175" s="87"/>
    </row>
    <row r="176" customFormat="false" ht="14.25" hidden="false" customHeight="false" outlineLevel="0" collapsed="false">
      <c r="A176" s="87"/>
      <c r="B176" s="87"/>
      <c r="C176" s="87"/>
      <c r="D176" s="87"/>
      <c r="E176" s="87"/>
    </row>
    <row r="177" customFormat="false" ht="14.25" hidden="false" customHeight="false" outlineLevel="0" collapsed="false">
      <c r="A177" s="87"/>
      <c r="B177" s="87"/>
      <c r="C177" s="87"/>
      <c r="D177" s="87"/>
      <c r="E177" s="87"/>
    </row>
    <row r="178" customFormat="false" ht="14.25" hidden="false" customHeight="false" outlineLevel="0" collapsed="false">
      <c r="A178" s="87"/>
      <c r="B178" s="87"/>
      <c r="C178" s="87"/>
      <c r="D178" s="87"/>
      <c r="E178" s="87"/>
    </row>
    <row r="179" customFormat="false" ht="14.25" hidden="false" customHeight="false" outlineLevel="0" collapsed="false">
      <c r="A179" s="87"/>
      <c r="B179" s="87"/>
      <c r="C179" s="87"/>
      <c r="D179" s="87"/>
      <c r="E179" s="87"/>
    </row>
    <row r="180" customFormat="false" ht="14.25" hidden="false" customHeight="false" outlineLevel="0" collapsed="false">
      <c r="A180" s="87"/>
      <c r="B180" s="87"/>
      <c r="C180" s="87"/>
      <c r="D180" s="87"/>
      <c r="E180" s="87"/>
    </row>
    <row r="181" customFormat="false" ht="14.25" hidden="false" customHeight="false" outlineLevel="0" collapsed="false">
      <c r="A181" s="87"/>
      <c r="B181" s="87"/>
      <c r="C181" s="87"/>
      <c r="D181" s="87"/>
      <c r="E181" s="87"/>
    </row>
    <row r="182" customFormat="false" ht="14.25" hidden="false" customHeight="false" outlineLevel="0" collapsed="false">
      <c r="A182" s="87"/>
      <c r="B182" s="87"/>
      <c r="C182" s="87"/>
      <c r="D182" s="87"/>
      <c r="E182" s="87"/>
    </row>
    <row r="183" customFormat="false" ht="14.25" hidden="false" customHeight="false" outlineLevel="0" collapsed="false">
      <c r="A183" s="87"/>
      <c r="B183" s="87"/>
      <c r="C183" s="87"/>
      <c r="D183" s="87"/>
      <c r="E183" s="87"/>
    </row>
    <row r="184" customFormat="false" ht="14.25" hidden="false" customHeight="false" outlineLevel="0" collapsed="false">
      <c r="A184" s="87"/>
      <c r="B184" s="87"/>
      <c r="C184" s="87"/>
      <c r="D184" s="87"/>
      <c r="E184" s="87"/>
    </row>
    <row r="185" customFormat="false" ht="14.25" hidden="false" customHeight="false" outlineLevel="0" collapsed="false">
      <c r="A185" s="87"/>
      <c r="B185" s="87"/>
      <c r="C185" s="87"/>
      <c r="D185" s="87"/>
      <c r="E185" s="87"/>
    </row>
    <row r="186" customFormat="false" ht="14.25" hidden="false" customHeight="false" outlineLevel="0" collapsed="false">
      <c r="A186" s="87"/>
      <c r="B186" s="87"/>
      <c r="C186" s="87"/>
      <c r="D186" s="87"/>
      <c r="E186" s="87"/>
    </row>
    <row r="187" customFormat="false" ht="14.25" hidden="false" customHeight="false" outlineLevel="0" collapsed="false">
      <c r="A187" s="87"/>
      <c r="B187" s="87"/>
      <c r="C187" s="87"/>
      <c r="D187" s="87"/>
      <c r="E187" s="87"/>
    </row>
    <row r="188" customFormat="false" ht="14.25" hidden="false" customHeight="false" outlineLevel="0" collapsed="false">
      <c r="A188" s="87"/>
      <c r="B188" s="87"/>
      <c r="C188" s="87"/>
      <c r="D188" s="87"/>
      <c r="E188" s="87"/>
    </row>
    <row r="189" customFormat="false" ht="14.25" hidden="false" customHeight="false" outlineLevel="0" collapsed="false">
      <c r="A189" s="87"/>
      <c r="B189" s="87"/>
      <c r="C189" s="87"/>
      <c r="D189" s="87"/>
      <c r="E189" s="87"/>
    </row>
    <row r="190" customFormat="false" ht="14.25" hidden="false" customHeight="false" outlineLevel="0" collapsed="false">
      <c r="A190" s="87"/>
      <c r="B190" s="87"/>
      <c r="C190" s="87"/>
      <c r="D190" s="87"/>
      <c r="E190" s="87"/>
    </row>
    <row r="191" customFormat="false" ht="14.25" hidden="false" customHeight="false" outlineLevel="0" collapsed="false">
      <c r="A191" s="87"/>
      <c r="B191" s="87"/>
      <c r="C191" s="87"/>
      <c r="D191" s="87"/>
      <c r="E191" s="87"/>
    </row>
    <row r="192" customFormat="false" ht="14.25" hidden="false" customHeight="false" outlineLevel="0" collapsed="false">
      <c r="A192" s="87"/>
      <c r="B192" s="87"/>
      <c r="C192" s="87"/>
      <c r="D192" s="87"/>
      <c r="E192" s="87"/>
    </row>
    <row r="193" customFormat="false" ht="14.25" hidden="false" customHeight="false" outlineLevel="0" collapsed="false">
      <c r="A193" s="87"/>
      <c r="B193" s="87"/>
      <c r="C193" s="87"/>
      <c r="D193" s="87"/>
      <c r="E193" s="87"/>
    </row>
    <row r="194" customFormat="false" ht="14.25" hidden="false" customHeight="false" outlineLevel="0" collapsed="false">
      <c r="A194" s="87"/>
      <c r="B194" s="87"/>
      <c r="C194" s="87"/>
      <c r="D194" s="87"/>
      <c r="E194" s="87"/>
    </row>
    <row r="195" customFormat="false" ht="14.25" hidden="false" customHeight="false" outlineLevel="0" collapsed="false">
      <c r="A195" s="87"/>
      <c r="B195" s="87"/>
      <c r="C195" s="87"/>
      <c r="D195" s="87"/>
      <c r="E195" s="87"/>
    </row>
    <row r="196" customFormat="false" ht="14.25" hidden="false" customHeight="false" outlineLevel="0" collapsed="false">
      <c r="A196" s="87"/>
      <c r="B196" s="87"/>
      <c r="C196" s="87"/>
      <c r="D196" s="87"/>
      <c r="E196" s="87"/>
    </row>
    <row r="197" customFormat="false" ht="14.25" hidden="false" customHeight="false" outlineLevel="0" collapsed="false">
      <c r="A197" s="87"/>
      <c r="B197" s="87"/>
      <c r="C197" s="87"/>
      <c r="D197" s="87"/>
      <c r="E197" s="87"/>
    </row>
    <row r="198" customFormat="false" ht="14.25" hidden="false" customHeight="false" outlineLevel="0" collapsed="false">
      <c r="A198" s="87"/>
      <c r="B198" s="87"/>
      <c r="C198" s="87"/>
      <c r="D198" s="87"/>
      <c r="E198" s="87"/>
    </row>
    <row r="199" customFormat="false" ht="14.25" hidden="false" customHeight="false" outlineLevel="0" collapsed="false">
      <c r="A199" s="87"/>
      <c r="B199" s="87"/>
      <c r="C199" s="87"/>
      <c r="D199" s="87"/>
      <c r="E199" s="87"/>
    </row>
    <row r="200" customFormat="false" ht="14.25" hidden="false" customHeight="false" outlineLevel="0" collapsed="false">
      <c r="A200" s="87"/>
      <c r="B200" s="87"/>
      <c r="C200" s="87"/>
      <c r="D200" s="87"/>
      <c r="E200" s="87"/>
    </row>
    <row r="201" customFormat="false" ht="14.25" hidden="false" customHeight="false" outlineLevel="0" collapsed="false">
      <c r="A201" s="87"/>
      <c r="B201" s="87"/>
      <c r="C201" s="87"/>
      <c r="D201" s="87"/>
      <c r="E201" s="87"/>
    </row>
    <row r="202" customFormat="false" ht="14.25" hidden="false" customHeight="false" outlineLevel="0" collapsed="false">
      <c r="A202" s="87"/>
      <c r="B202" s="87"/>
      <c r="C202" s="87"/>
      <c r="D202" s="87"/>
      <c r="E202" s="87"/>
    </row>
    <row r="203" customFormat="false" ht="14.25" hidden="false" customHeight="false" outlineLevel="0" collapsed="false">
      <c r="A203" s="87"/>
      <c r="B203" s="87"/>
      <c r="C203" s="87"/>
      <c r="D203" s="87"/>
      <c r="E203" s="87"/>
    </row>
    <row r="204" customFormat="false" ht="14.25" hidden="false" customHeight="false" outlineLevel="0" collapsed="false">
      <c r="A204" s="87"/>
      <c r="B204" s="87"/>
      <c r="C204" s="87"/>
      <c r="D204" s="87"/>
      <c r="E204" s="87"/>
    </row>
    <row r="205" customFormat="false" ht="14.25" hidden="false" customHeight="false" outlineLevel="0" collapsed="false">
      <c r="A205" s="87"/>
      <c r="B205" s="87"/>
      <c r="C205" s="87"/>
      <c r="D205" s="87"/>
      <c r="E205" s="87"/>
    </row>
    <row r="206" customFormat="false" ht="14.25" hidden="false" customHeight="false" outlineLevel="0" collapsed="false">
      <c r="A206" s="87"/>
      <c r="B206" s="87"/>
      <c r="C206" s="87"/>
      <c r="D206" s="87"/>
      <c r="E206" s="87"/>
    </row>
    <row r="207" customFormat="false" ht="14.25" hidden="false" customHeight="false" outlineLevel="0" collapsed="false">
      <c r="A207" s="87"/>
      <c r="B207" s="87"/>
      <c r="C207" s="87"/>
      <c r="D207" s="87"/>
      <c r="E207" s="87"/>
    </row>
    <row r="208" customFormat="false" ht="14.25" hidden="false" customHeight="false" outlineLevel="0" collapsed="false">
      <c r="A208" s="87"/>
      <c r="B208" s="87"/>
      <c r="C208" s="87"/>
      <c r="D208" s="87"/>
      <c r="E208" s="87"/>
    </row>
    <row r="209" customFormat="false" ht="14.25" hidden="false" customHeight="false" outlineLevel="0" collapsed="false">
      <c r="A209" s="87"/>
      <c r="B209" s="87"/>
      <c r="C209" s="87"/>
      <c r="D209" s="87"/>
      <c r="E209" s="87"/>
    </row>
    <row r="210" customFormat="false" ht="14.25" hidden="false" customHeight="false" outlineLevel="0" collapsed="false">
      <c r="A210" s="87"/>
      <c r="B210" s="87"/>
      <c r="C210" s="87"/>
      <c r="D210" s="87"/>
      <c r="E210" s="87"/>
    </row>
    <row r="211" customFormat="false" ht="14.25" hidden="false" customHeight="false" outlineLevel="0" collapsed="false">
      <c r="A211" s="87"/>
      <c r="B211" s="87"/>
      <c r="C211" s="87"/>
      <c r="D211" s="87"/>
      <c r="E211" s="87"/>
    </row>
    <row r="212" customFormat="false" ht="14.25" hidden="false" customHeight="false" outlineLevel="0" collapsed="false">
      <c r="A212" s="87"/>
      <c r="B212" s="87"/>
      <c r="C212" s="87"/>
      <c r="D212" s="87"/>
      <c r="E212" s="87"/>
    </row>
    <row r="213" customFormat="false" ht="14.25" hidden="false" customHeight="false" outlineLevel="0" collapsed="false">
      <c r="A213" s="87"/>
      <c r="B213" s="87"/>
      <c r="C213" s="87"/>
      <c r="D213" s="87"/>
      <c r="E213" s="87"/>
    </row>
    <row r="214" customFormat="false" ht="14.25" hidden="false" customHeight="false" outlineLevel="0" collapsed="false">
      <c r="A214" s="87"/>
      <c r="B214" s="87"/>
      <c r="C214" s="87"/>
      <c r="D214" s="87"/>
      <c r="E214" s="87"/>
    </row>
    <row r="215" customFormat="false" ht="14.25" hidden="false" customHeight="false" outlineLevel="0" collapsed="false">
      <c r="A215" s="87"/>
      <c r="B215" s="87"/>
      <c r="C215" s="87"/>
      <c r="D215" s="87"/>
      <c r="E215" s="87"/>
    </row>
    <row r="216" customFormat="false" ht="14.25" hidden="false" customHeight="false" outlineLevel="0" collapsed="false">
      <c r="A216" s="87"/>
      <c r="B216" s="87"/>
      <c r="C216" s="87"/>
      <c r="D216" s="87"/>
      <c r="E216" s="87"/>
    </row>
    <row r="217" customFormat="false" ht="14.25" hidden="false" customHeight="false" outlineLevel="0" collapsed="false">
      <c r="A217" s="87"/>
      <c r="B217" s="87"/>
      <c r="C217" s="87"/>
      <c r="D217" s="87"/>
      <c r="E217" s="87"/>
    </row>
    <row r="218" customFormat="false" ht="14.25" hidden="false" customHeight="false" outlineLevel="0" collapsed="false">
      <c r="A218" s="87"/>
      <c r="B218" s="87"/>
      <c r="C218" s="87"/>
      <c r="D218" s="87"/>
      <c r="E218" s="87"/>
    </row>
    <row r="219" customFormat="false" ht="14.25" hidden="false" customHeight="false" outlineLevel="0" collapsed="false">
      <c r="A219" s="87"/>
      <c r="B219" s="87"/>
      <c r="C219" s="87"/>
      <c r="D219" s="87"/>
      <c r="E219" s="87"/>
    </row>
    <row r="220" customFormat="false" ht="14.25" hidden="false" customHeight="false" outlineLevel="0" collapsed="false">
      <c r="A220" s="87"/>
      <c r="B220" s="87"/>
      <c r="C220" s="87"/>
      <c r="D220" s="87"/>
      <c r="E220" s="87"/>
    </row>
    <row r="221" customFormat="false" ht="14.25" hidden="false" customHeight="false" outlineLevel="0" collapsed="false">
      <c r="A221" s="87"/>
      <c r="B221" s="87"/>
      <c r="C221" s="87"/>
      <c r="D221" s="87"/>
      <c r="E221" s="87"/>
    </row>
    <row r="222" customFormat="false" ht="14.25" hidden="false" customHeight="false" outlineLevel="0" collapsed="false">
      <c r="A222" s="87"/>
      <c r="B222" s="87"/>
      <c r="C222" s="87"/>
      <c r="D222" s="87"/>
      <c r="E222" s="87"/>
    </row>
    <row r="223" customFormat="false" ht="14.25" hidden="false" customHeight="false" outlineLevel="0" collapsed="false">
      <c r="A223" s="87"/>
      <c r="B223" s="87"/>
      <c r="C223" s="87"/>
      <c r="D223" s="87"/>
      <c r="E223" s="87"/>
    </row>
    <row r="224" customFormat="false" ht="14.25" hidden="false" customHeight="false" outlineLevel="0" collapsed="false">
      <c r="A224" s="87"/>
      <c r="B224" s="87"/>
      <c r="C224" s="87"/>
      <c r="D224" s="87"/>
      <c r="E224" s="87"/>
    </row>
    <row r="225" customFormat="false" ht="14.25" hidden="false" customHeight="false" outlineLevel="0" collapsed="false">
      <c r="A225" s="87"/>
      <c r="B225" s="87"/>
      <c r="C225" s="87"/>
      <c r="D225" s="87"/>
      <c r="E225" s="87"/>
    </row>
    <row r="226" customFormat="false" ht="14.25" hidden="false" customHeight="false" outlineLevel="0" collapsed="false">
      <c r="A226" s="87"/>
      <c r="B226" s="87"/>
      <c r="C226" s="87"/>
      <c r="D226" s="87"/>
      <c r="E226" s="87"/>
    </row>
    <row r="227" customFormat="false" ht="14.25" hidden="false" customHeight="false" outlineLevel="0" collapsed="false">
      <c r="A227" s="87"/>
      <c r="B227" s="87"/>
      <c r="C227" s="87"/>
      <c r="D227" s="87"/>
      <c r="E227" s="87"/>
    </row>
    <row r="228" customFormat="false" ht="14.25" hidden="false" customHeight="false" outlineLevel="0" collapsed="false">
      <c r="A228" s="87"/>
      <c r="B228" s="87"/>
      <c r="C228" s="87"/>
      <c r="D228" s="87"/>
      <c r="E228" s="87"/>
    </row>
    <row r="229" customFormat="false" ht="14.25" hidden="false" customHeight="false" outlineLevel="0" collapsed="false">
      <c r="A229" s="87"/>
      <c r="B229" s="87"/>
      <c r="C229" s="87"/>
      <c r="D229" s="87"/>
      <c r="E229" s="87"/>
    </row>
    <row r="230" customFormat="false" ht="14.25" hidden="false" customHeight="false" outlineLevel="0" collapsed="false">
      <c r="A230" s="87"/>
      <c r="B230" s="87"/>
      <c r="C230" s="87"/>
      <c r="D230" s="87"/>
      <c r="E230" s="87"/>
    </row>
    <row r="231" customFormat="false" ht="14.25" hidden="false" customHeight="false" outlineLevel="0" collapsed="false">
      <c r="A231" s="87"/>
      <c r="B231" s="87"/>
      <c r="C231" s="87"/>
      <c r="D231" s="87"/>
      <c r="E231" s="87"/>
    </row>
    <row r="232" customFormat="false" ht="14.25" hidden="false" customHeight="false" outlineLevel="0" collapsed="false">
      <c r="A232" s="87"/>
      <c r="B232" s="87"/>
      <c r="C232" s="87"/>
      <c r="D232" s="87"/>
      <c r="E232" s="87"/>
    </row>
    <row r="233" customFormat="false" ht="14.25" hidden="false" customHeight="false" outlineLevel="0" collapsed="false">
      <c r="A233" s="87"/>
      <c r="B233" s="87"/>
      <c r="C233" s="87"/>
      <c r="D233" s="87"/>
      <c r="E233" s="87"/>
    </row>
    <row r="234" customFormat="false" ht="14.25" hidden="false" customHeight="false" outlineLevel="0" collapsed="false">
      <c r="A234" s="87"/>
      <c r="B234" s="87"/>
      <c r="C234" s="87"/>
      <c r="D234" s="87"/>
      <c r="E234" s="87"/>
    </row>
    <row r="235" customFormat="false" ht="14.25" hidden="false" customHeight="false" outlineLevel="0" collapsed="false">
      <c r="A235" s="87"/>
      <c r="B235" s="87"/>
      <c r="C235" s="87"/>
      <c r="D235" s="87"/>
      <c r="E235" s="87"/>
    </row>
    <row r="236" customFormat="false" ht="14.25" hidden="false" customHeight="false" outlineLevel="0" collapsed="false">
      <c r="A236" s="87"/>
      <c r="B236" s="87"/>
      <c r="C236" s="87"/>
      <c r="D236" s="87"/>
      <c r="E236" s="87"/>
    </row>
    <row r="237" customFormat="false" ht="14.25" hidden="false" customHeight="false" outlineLevel="0" collapsed="false">
      <c r="A237" s="87"/>
      <c r="B237" s="87"/>
      <c r="C237" s="87"/>
      <c r="D237" s="87"/>
      <c r="E237" s="87"/>
    </row>
    <row r="238" customFormat="false" ht="14.25" hidden="false" customHeight="false" outlineLevel="0" collapsed="false">
      <c r="A238" s="87"/>
      <c r="B238" s="87"/>
      <c r="C238" s="87"/>
      <c r="D238" s="87"/>
      <c r="E238" s="87"/>
    </row>
    <row r="239" customFormat="false" ht="14.25" hidden="false" customHeight="false" outlineLevel="0" collapsed="false">
      <c r="A239" s="87"/>
      <c r="B239" s="87"/>
      <c r="C239" s="87"/>
      <c r="D239" s="87"/>
      <c r="E239" s="87"/>
    </row>
    <row r="240" customFormat="false" ht="14.25" hidden="false" customHeight="false" outlineLevel="0" collapsed="false">
      <c r="A240" s="87"/>
      <c r="B240" s="87"/>
      <c r="C240" s="87"/>
      <c r="D240" s="87"/>
      <c r="E240" s="87"/>
    </row>
    <row r="241" customFormat="false" ht="14.25" hidden="false" customHeight="false" outlineLevel="0" collapsed="false">
      <c r="A241" s="87"/>
      <c r="B241" s="87"/>
      <c r="C241" s="87"/>
      <c r="D241" s="87"/>
      <c r="E241" s="87"/>
    </row>
    <row r="242" customFormat="false" ht="14.25" hidden="false" customHeight="false" outlineLevel="0" collapsed="false">
      <c r="A242" s="87"/>
      <c r="B242" s="87"/>
      <c r="C242" s="87"/>
      <c r="D242" s="87"/>
      <c r="E242" s="87"/>
    </row>
    <row r="243" customFormat="false" ht="14.25" hidden="false" customHeight="false" outlineLevel="0" collapsed="false">
      <c r="A243" s="87"/>
      <c r="B243" s="87"/>
      <c r="C243" s="87"/>
      <c r="D243" s="87"/>
      <c r="E243" s="87"/>
    </row>
    <row r="244" customFormat="false" ht="14.25" hidden="false" customHeight="false" outlineLevel="0" collapsed="false">
      <c r="A244" s="87"/>
      <c r="B244" s="87"/>
      <c r="C244" s="87"/>
      <c r="D244" s="87"/>
      <c r="E244" s="87"/>
    </row>
    <row r="245" customFormat="false" ht="14.25" hidden="false" customHeight="false" outlineLevel="0" collapsed="false">
      <c r="A245" s="87"/>
      <c r="B245" s="87"/>
      <c r="C245" s="87"/>
      <c r="D245" s="87"/>
      <c r="E245" s="87"/>
    </row>
    <row r="246" customFormat="false" ht="14.25" hidden="false" customHeight="false" outlineLevel="0" collapsed="false">
      <c r="A246" s="87"/>
      <c r="B246" s="87"/>
      <c r="C246" s="87"/>
      <c r="D246" s="87"/>
      <c r="E246" s="87"/>
    </row>
    <row r="247" customFormat="false" ht="14.25" hidden="false" customHeight="false" outlineLevel="0" collapsed="false">
      <c r="A247" s="87"/>
      <c r="B247" s="87"/>
      <c r="C247" s="87"/>
      <c r="D247" s="87"/>
      <c r="E247" s="87"/>
    </row>
    <row r="248" customFormat="false" ht="14.25" hidden="false" customHeight="false" outlineLevel="0" collapsed="false">
      <c r="A248" s="87"/>
      <c r="B248" s="87"/>
      <c r="C248" s="87"/>
      <c r="D248" s="87"/>
      <c r="E248" s="87"/>
    </row>
    <row r="249" customFormat="false" ht="14.25" hidden="false" customHeight="false" outlineLevel="0" collapsed="false">
      <c r="A249" s="87"/>
      <c r="B249" s="87"/>
      <c r="C249" s="87"/>
      <c r="D249" s="87"/>
      <c r="E249" s="87"/>
    </row>
    <row r="250" customFormat="false" ht="14.25" hidden="false" customHeight="false" outlineLevel="0" collapsed="false">
      <c r="A250" s="87"/>
      <c r="B250" s="87"/>
      <c r="C250" s="87"/>
      <c r="D250" s="87"/>
      <c r="E250" s="87"/>
    </row>
    <row r="251" customFormat="false" ht="14.25" hidden="false" customHeight="false" outlineLevel="0" collapsed="false">
      <c r="A251" s="87"/>
      <c r="B251" s="87"/>
      <c r="C251" s="87"/>
      <c r="D251" s="87"/>
      <c r="E251" s="87"/>
    </row>
    <row r="252" customFormat="false" ht="14.25" hidden="false" customHeight="false" outlineLevel="0" collapsed="false">
      <c r="A252" s="87"/>
      <c r="B252" s="87"/>
      <c r="C252" s="87"/>
      <c r="D252" s="87"/>
      <c r="E252" s="87"/>
    </row>
    <row r="253" customFormat="false" ht="14.25" hidden="false" customHeight="false" outlineLevel="0" collapsed="false">
      <c r="A253" s="87"/>
      <c r="B253" s="87"/>
      <c r="C253" s="87"/>
      <c r="D253" s="87"/>
      <c r="E253" s="87"/>
    </row>
    <row r="254" customFormat="false" ht="14.25" hidden="false" customHeight="false" outlineLevel="0" collapsed="false">
      <c r="A254" s="87"/>
      <c r="B254" s="87"/>
      <c r="C254" s="87"/>
      <c r="D254" s="87"/>
      <c r="E254" s="87"/>
    </row>
    <row r="255" customFormat="false" ht="14.25" hidden="false" customHeight="false" outlineLevel="0" collapsed="false">
      <c r="A255" s="87"/>
      <c r="B255" s="87"/>
      <c r="C255" s="87"/>
      <c r="D255" s="87"/>
      <c r="E255" s="87"/>
    </row>
    <row r="256" customFormat="false" ht="14.25" hidden="false" customHeight="false" outlineLevel="0" collapsed="false">
      <c r="A256" s="87"/>
      <c r="B256" s="87"/>
      <c r="C256" s="87"/>
      <c r="D256" s="87"/>
      <c r="E256" s="87"/>
    </row>
    <row r="257" customFormat="false" ht="14.25" hidden="false" customHeight="false" outlineLevel="0" collapsed="false">
      <c r="A257" s="87"/>
      <c r="B257" s="87"/>
      <c r="C257" s="87"/>
      <c r="D257" s="87"/>
      <c r="E257" s="87"/>
    </row>
    <row r="258" customFormat="false" ht="14.25" hidden="false" customHeight="false" outlineLevel="0" collapsed="false">
      <c r="A258" s="87"/>
      <c r="B258" s="87"/>
      <c r="C258" s="87"/>
      <c r="D258" s="87"/>
      <c r="E258" s="87"/>
    </row>
    <row r="259" customFormat="false" ht="14.25" hidden="false" customHeight="false" outlineLevel="0" collapsed="false">
      <c r="A259" s="87"/>
      <c r="B259" s="87"/>
      <c r="C259" s="87"/>
      <c r="D259" s="87"/>
      <c r="E259" s="87"/>
    </row>
    <row r="260" customFormat="false" ht="14.25" hidden="false" customHeight="false" outlineLevel="0" collapsed="false">
      <c r="A260" s="87"/>
      <c r="B260" s="87"/>
      <c r="C260" s="87"/>
      <c r="D260" s="87"/>
      <c r="E260" s="87"/>
    </row>
    <row r="261" customFormat="false" ht="14.25" hidden="false" customHeight="false" outlineLevel="0" collapsed="false">
      <c r="A261" s="87"/>
      <c r="B261" s="87"/>
      <c r="C261" s="87"/>
      <c r="D261" s="87"/>
      <c r="E261" s="87"/>
    </row>
    <row r="262" customFormat="false" ht="14.25" hidden="false" customHeight="false" outlineLevel="0" collapsed="false">
      <c r="A262" s="87"/>
      <c r="B262" s="87"/>
      <c r="C262" s="87"/>
      <c r="D262" s="87"/>
      <c r="E262" s="87"/>
    </row>
    <row r="263" customFormat="false" ht="14.25" hidden="false" customHeight="false" outlineLevel="0" collapsed="false">
      <c r="A263" s="87"/>
      <c r="B263" s="87"/>
      <c r="C263" s="87"/>
      <c r="D263" s="87"/>
      <c r="E263" s="87"/>
    </row>
    <row r="264" customFormat="false" ht="14.25" hidden="false" customHeight="false" outlineLevel="0" collapsed="false">
      <c r="A264" s="87"/>
      <c r="B264" s="87"/>
      <c r="C264" s="87"/>
      <c r="D264" s="87"/>
      <c r="E264" s="87"/>
    </row>
    <row r="265" customFormat="false" ht="14.25" hidden="false" customHeight="false" outlineLevel="0" collapsed="false">
      <c r="A265" s="87"/>
      <c r="B265" s="87"/>
      <c r="C265" s="87"/>
      <c r="D265" s="87"/>
      <c r="E265" s="87"/>
    </row>
    <row r="266" customFormat="false" ht="14.25" hidden="false" customHeight="false" outlineLevel="0" collapsed="false">
      <c r="A266" s="87"/>
      <c r="B266" s="87"/>
      <c r="C266" s="87"/>
      <c r="D266" s="87"/>
      <c r="E266" s="87"/>
    </row>
    <row r="267" customFormat="false" ht="14.25" hidden="false" customHeight="false" outlineLevel="0" collapsed="false">
      <c r="A267" s="87"/>
      <c r="B267" s="87"/>
      <c r="C267" s="87"/>
      <c r="D267" s="87"/>
      <c r="E267" s="87"/>
    </row>
    <row r="268" customFormat="false" ht="14.25" hidden="false" customHeight="false" outlineLevel="0" collapsed="false">
      <c r="A268" s="87"/>
      <c r="B268" s="87"/>
      <c r="C268" s="87"/>
      <c r="D268" s="87"/>
      <c r="E268" s="87"/>
    </row>
    <row r="269" customFormat="false" ht="14.25" hidden="false" customHeight="false" outlineLevel="0" collapsed="false">
      <c r="A269" s="87"/>
      <c r="B269" s="87"/>
      <c r="C269" s="87"/>
      <c r="D269" s="87"/>
      <c r="E269" s="87"/>
    </row>
    <row r="270" customFormat="false" ht="14.25" hidden="false" customHeight="false" outlineLevel="0" collapsed="false">
      <c r="A270" s="87"/>
      <c r="B270" s="87"/>
      <c r="C270" s="87"/>
      <c r="D270" s="87"/>
      <c r="E270" s="87"/>
    </row>
    <row r="271" customFormat="false" ht="14.25" hidden="false" customHeight="false" outlineLevel="0" collapsed="false">
      <c r="A271" s="87"/>
      <c r="B271" s="87"/>
      <c r="C271" s="87"/>
      <c r="D271" s="87"/>
      <c r="E271" s="87"/>
    </row>
    <row r="272" customFormat="false" ht="14.25" hidden="false" customHeight="false" outlineLevel="0" collapsed="false">
      <c r="A272" s="87"/>
      <c r="B272" s="87"/>
      <c r="C272" s="87"/>
      <c r="D272" s="87"/>
      <c r="E272" s="87"/>
    </row>
    <row r="273" customFormat="false" ht="14.25" hidden="false" customHeight="false" outlineLevel="0" collapsed="false">
      <c r="A273" s="87"/>
      <c r="B273" s="87"/>
      <c r="C273" s="87"/>
      <c r="D273" s="87"/>
      <c r="E273" s="87"/>
    </row>
    <row r="274" customFormat="false" ht="14.25" hidden="false" customHeight="false" outlineLevel="0" collapsed="false">
      <c r="A274" s="87"/>
      <c r="B274" s="87"/>
      <c r="C274" s="87"/>
      <c r="D274" s="87"/>
      <c r="E274" s="87"/>
    </row>
    <row r="275" customFormat="false" ht="14.25" hidden="false" customHeight="false" outlineLevel="0" collapsed="false">
      <c r="A275" s="87"/>
      <c r="B275" s="87"/>
      <c r="C275" s="87"/>
      <c r="D275" s="87"/>
      <c r="E275" s="87"/>
    </row>
    <row r="276" customFormat="false" ht="14.25" hidden="false" customHeight="false" outlineLevel="0" collapsed="false">
      <c r="A276" s="87"/>
      <c r="B276" s="87"/>
      <c r="C276" s="87"/>
      <c r="D276" s="87"/>
      <c r="E276" s="87"/>
    </row>
    <row r="277" customFormat="false" ht="14.25" hidden="false" customHeight="false" outlineLevel="0" collapsed="false">
      <c r="A277" s="87"/>
      <c r="B277" s="87"/>
      <c r="C277" s="87"/>
      <c r="D277" s="87"/>
      <c r="E277" s="87"/>
    </row>
    <row r="278" customFormat="false" ht="14.25" hidden="false" customHeight="false" outlineLevel="0" collapsed="false">
      <c r="A278" s="87"/>
      <c r="B278" s="87"/>
      <c r="C278" s="87"/>
      <c r="D278" s="87"/>
      <c r="E278" s="87"/>
    </row>
    <row r="279" customFormat="false" ht="14.25" hidden="false" customHeight="false" outlineLevel="0" collapsed="false">
      <c r="A279" s="87"/>
      <c r="B279" s="87"/>
      <c r="C279" s="87"/>
      <c r="D279" s="87"/>
      <c r="E279" s="87"/>
    </row>
    <row r="280" customFormat="false" ht="14.25" hidden="false" customHeight="false" outlineLevel="0" collapsed="false">
      <c r="A280" s="87"/>
      <c r="B280" s="87"/>
      <c r="C280" s="87"/>
      <c r="D280" s="87"/>
      <c r="E280" s="87"/>
    </row>
    <row r="281" customFormat="false" ht="14.25" hidden="false" customHeight="false" outlineLevel="0" collapsed="false">
      <c r="A281" s="87"/>
      <c r="B281" s="87"/>
      <c r="C281" s="87"/>
      <c r="D281" s="87"/>
      <c r="E281" s="87"/>
    </row>
    <row r="282" customFormat="false" ht="14.25" hidden="false" customHeight="false" outlineLevel="0" collapsed="false">
      <c r="A282" s="87"/>
      <c r="B282" s="87"/>
      <c r="C282" s="87"/>
      <c r="D282" s="87"/>
      <c r="E282" s="87"/>
    </row>
    <row r="283" customFormat="false" ht="14.25" hidden="false" customHeight="false" outlineLevel="0" collapsed="false">
      <c r="A283" s="87"/>
      <c r="B283" s="87"/>
      <c r="C283" s="87"/>
      <c r="D283" s="87"/>
      <c r="E283" s="87"/>
    </row>
    <row r="284" customFormat="false" ht="14.25" hidden="false" customHeight="false" outlineLevel="0" collapsed="false">
      <c r="A284" s="87"/>
      <c r="B284" s="87"/>
      <c r="C284" s="87"/>
      <c r="D284" s="87"/>
      <c r="E284" s="87"/>
    </row>
    <row r="285" customFormat="false" ht="14.25" hidden="false" customHeight="false" outlineLevel="0" collapsed="false">
      <c r="A285" s="87"/>
      <c r="B285" s="87"/>
      <c r="C285" s="87"/>
      <c r="D285" s="87"/>
      <c r="E285" s="87"/>
    </row>
    <row r="286" customFormat="false" ht="14.25" hidden="false" customHeight="false" outlineLevel="0" collapsed="false">
      <c r="A286" s="87"/>
      <c r="B286" s="87"/>
      <c r="C286" s="87"/>
      <c r="D286" s="87"/>
      <c r="E286" s="87"/>
    </row>
    <row r="287" customFormat="false" ht="14.25" hidden="false" customHeight="false" outlineLevel="0" collapsed="false">
      <c r="A287" s="87"/>
      <c r="B287" s="87"/>
      <c r="C287" s="87"/>
      <c r="D287" s="87"/>
      <c r="E287" s="87"/>
    </row>
    <row r="288" customFormat="false" ht="14.25" hidden="false" customHeight="false" outlineLevel="0" collapsed="false">
      <c r="A288" s="87"/>
      <c r="B288" s="87"/>
      <c r="C288" s="87"/>
      <c r="D288" s="87"/>
      <c r="E288" s="87"/>
    </row>
    <row r="289" customFormat="false" ht="14.25" hidden="false" customHeight="false" outlineLevel="0" collapsed="false">
      <c r="A289" s="87"/>
      <c r="B289" s="87"/>
      <c r="C289" s="87"/>
      <c r="D289" s="87"/>
      <c r="E289" s="87"/>
    </row>
    <row r="290" customFormat="false" ht="14.25" hidden="false" customHeight="false" outlineLevel="0" collapsed="false">
      <c r="A290" s="87"/>
      <c r="B290" s="87"/>
      <c r="C290" s="87"/>
      <c r="D290" s="87"/>
      <c r="E290" s="87"/>
    </row>
    <row r="291" customFormat="false" ht="14.25" hidden="false" customHeight="false" outlineLevel="0" collapsed="false">
      <c r="A291" s="87"/>
      <c r="B291" s="87"/>
      <c r="C291" s="87"/>
      <c r="D291" s="87"/>
      <c r="E291" s="87"/>
    </row>
    <row r="292" customFormat="false" ht="14.25" hidden="false" customHeight="false" outlineLevel="0" collapsed="false">
      <c r="A292" s="87"/>
      <c r="B292" s="87"/>
      <c r="C292" s="87"/>
      <c r="D292" s="87"/>
      <c r="E292" s="87"/>
    </row>
    <row r="293" customFormat="false" ht="14.25" hidden="false" customHeight="false" outlineLevel="0" collapsed="false">
      <c r="A293" s="87"/>
      <c r="B293" s="87"/>
      <c r="C293" s="87"/>
      <c r="D293" s="87"/>
      <c r="E293" s="87"/>
    </row>
    <row r="294" customFormat="false" ht="14.25" hidden="false" customHeight="false" outlineLevel="0" collapsed="false">
      <c r="A294" s="87"/>
      <c r="B294" s="87"/>
      <c r="C294" s="87"/>
      <c r="D294" s="87"/>
      <c r="E294" s="87"/>
    </row>
    <row r="295" customFormat="false" ht="14.25" hidden="false" customHeight="false" outlineLevel="0" collapsed="false">
      <c r="A295" s="87"/>
      <c r="B295" s="87"/>
      <c r="C295" s="87"/>
      <c r="D295" s="87"/>
      <c r="E295" s="87"/>
    </row>
    <row r="296" customFormat="false" ht="14.25" hidden="false" customHeight="false" outlineLevel="0" collapsed="false">
      <c r="A296" s="87"/>
      <c r="B296" s="87"/>
      <c r="C296" s="87"/>
      <c r="D296" s="87"/>
      <c r="E296" s="87"/>
    </row>
    <row r="297" customFormat="false" ht="14.25" hidden="false" customHeight="false" outlineLevel="0" collapsed="false">
      <c r="A297" s="87"/>
      <c r="B297" s="87"/>
      <c r="C297" s="87"/>
      <c r="D297" s="87"/>
      <c r="E297" s="87"/>
    </row>
    <row r="298" customFormat="false" ht="14.25" hidden="false" customHeight="false" outlineLevel="0" collapsed="false">
      <c r="A298" s="87"/>
      <c r="B298" s="87"/>
      <c r="C298" s="87"/>
      <c r="D298" s="87"/>
      <c r="E298" s="87"/>
    </row>
    <row r="299" customFormat="false" ht="14.25" hidden="false" customHeight="false" outlineLevel="0" collapsed="false">
      <c r="A299" s="87"/>
      <c r="B299" s="87"/>
      <c r="C299" s="87"/>
      <c r="D299" s="87"/>
      <c r="E299" s="87"/>
    </row>
    <row r="300" customFormat="false" ht="14.25" hidden="false" customHeight="false" outlineLevel="0" collapsed="false">
      <c r="A300" s="87"/>
      <c r="B300" s="87"/>
      <c r="C300" s="87"/>
      <c r="D300" s="87"/>
      <c r="E300" s="87"/>
    </row>
    <row r="301" customFormat="false" ht="14.25" hidden="false" customHeight="false" outlineLevel="0" collapsed="false">
      <c r="A301" s="87"/>
      <c r="B301" s="87"/>
      <c r="C301" s="87"/>
      <c r="D301" s="87"/>
      <c r="E301" s="87"/>
    </row>
    <row r="302" customFormat="false" ht="14.25" hidden="false" customHeight="false" outlineLevel="0" collapsed="false">
      <c r="A302" s="87"/>
      <c r="B302" s="87"/>
      <c r="C302" s="87"/>
      <c r="D302" s="87"/>
      <c r="E302" s="87"/>
    </row>
    <row r="303" customFormat="false" ht="14.25" hidden="false" customHeight="false" outlineLevel="0" collapsed="false">
      <c r="A303" s="87"/>
      <c r="B303" s="87"/>
      <c r="C303" s="87"/>
      <c r="D303" s="87"/>
      <c r="E303" s="87"/>
    </row>
    <row r="304" customFormat="false" ht="14.25" hidden="false" customHeight="false" outlineLevel="0" collapsed="false">
      <c r="A304" s="87"/>
      <c r="B304" s="87"/>
      <c r="C304" s="87"/>
      <c r="D304" s="87"/>
      <c r="E304" s="87"/>
    </row>
    <row r="305" customFormat="false" ht="14.25" hidden="false" customHeight="false" outlineLevel="0" collapsed="false">
      <c r="A305" s="87"/>
      <c r="B305" s="87"/>
      <c r="C305" s="87"/>
      <c r="D305" s="87"/>
      <c r="E305" s="87"/>
    </row>
    <row r="306" customFormat="false" ht="14.25" hidden="false" customHeight="false" outlineLevel="0" collapsed="false">
      <c r="A306" s="87"/>
      <c r="B306" s="87"/>
      <c r="C306" s="87"/>
      <c r="D306" s="87"/>
      <c r="E306" s="87"/>
    </row>
    <row r="307" customFormat="false" ht="14.25" hidden="false" customHeight="false" outlineLevel="0" collapsed="false">
      <c r="A307" s="87"/>
      <c r="B307" s="87"/>
      <c r="C307" s="87"/>
      <c r="D307" s="87"/>
      <c r="E307" s="87"/>
    </row>
    <row r="308" customFormat="false" ht="14.25" hidden="false" customHeight="false" outlineLevel="0" collapsed="false">
      <c r="A308" s="87"/>
      <c r="B308" s="87"/>
      <c r="C308" s="87"/>
      <c r="D308" s="87"/>
      <c r="E308" s="87"/>
    </row>
    <row r="309" customFormat="false" ht="14.25" hidden="false" customHeight="false" outlineLevel="0" collapsed="false">
      <c r="A309" s="87"/>
      <c r="B309" s="87"/>
      <c r="C309" s="87"/>
      <c r="D309" s="87"/>
      <c r="E309" s="87"/>
    </row>
    <row r="310" customFormat="false" ht="14.25" hidden="false" customHeight="false" outlineLevel="0" collapsed="false">
      <c r="A310" s="87"/>
      <c r="B310" s="87"/>
      <c r="C310" s="87"/>
      <c r="D310" s="87"/>
      <c r="E310" s="87"/>
    </row>
    <row r="311" customFormat="false" ht="14.25" hidden="false" customHeight="false" outlineLevel="0" collapsed="false">
      <c r="A311" s="87"/>
      <c r="B311" s="87"/>
      <c r="C311" s="87"/>
      <c r="D311" s="87"/>
      <c r="E311" s="87"/>
    </row>
    <row r="312" customFormat="false" ht="14.25" hidden="false" customHeight="false" outlineLevel="0" collapsed="false">
      <c r="A312" s="87"/>
      <c r="B312" s="87"/>
      <c r="C312" s="87"/>
      <c r="D312" s="87"/>
      <c r="E312" s="87"/>
    </row>
    <row r="313" customFormat="false" ht="14.25" hidden="false" customHeight="false" outlineLevel="0" collapsed="false">
      <c r="A313" s="87"/>
      <c r="B313" s="87"/>
      <c r="C313" s="87"/>
      <c r="D313" s="87"/>
      <c r="E313" s="87"/>
    </row>
    <row r="314" customFormat="false" ht="14.25" hidden="false" customHeight="false" outlineLevel="0" collapsed="false">
      <c r="A314" s="87"/>
      <c r="B314" s="87"/>
      <c r="C314" s="87"/>
      <c r="D314" s="87"/>
      <c r="E314" s="87"/>
    </row>
    <row r="315" customFormat="false" ht="14.25" hidden="false" customHeight="false" outlineLevel="0" collapsed="false">
      <c r="A315" s="87"/>
      <c r="B315" s="87"/>
      <c r="C315" s="87"/>
      <c r="D315" s="87"/>
      <c r="E315" s="87"/>
    </row>
    <row r="316" customFormat="false" ht="14.25" hidden="false" customHeight="false" outlineLevel="0" collapsed="false">
      <c r="A316" s="87"/>
      <c r="B316" s="87"/>
      <c r="C316" s="87"/>
      <c r="D316" s="87"/>
      <c r="E316" s="87"/>
    </row>
    <row r="317" customFormat="false" ht="14.25" hidden="false" customHeight="false" outlineLevel="0" collapsed="false">
      <c r="A317" s="87"/>
      <c r="B317" s="87"/>
      <c r="C317" s="87"/>
      <c r="D317" s="87"/>
      <c r="E317" s="87"/>
    </row>
    <row r="318" customFormat="false" ht="14.25" hidden="false" customHeight="false" outlineLevel="0" collapsed="false">
      <c r="A318" s="87"/>
      <c r="B318" s="87"/>
      <c r="C318" s="87"/>
      <c r="D318" s="87"/>
      <c r="E318" s="87"/>
    </row>
    <row r="319" customFormat="false" ht="14.25" hidden="false" customHeight="false" outlineLevel="0" collapsed="false">
      <c r="A319" s="87"/>
      <c r="B319" s="87"/>
      <c r="C319" s="87"/>
      <c r="D319" s="87"/>
      <c r="E319" s="87"/>
    </row>
    <row r="320" customFormat="false" ht="14.25" hidden="false" customHeight="false" outlineLevel="0" collapsed="false">
      <c r="A320" s="87"/>
      <c r="B320" s="87"/>
      <c r="C320" s="87"/>
      <c r="D320" s="87"/>
      <c r="E320" s="87"/>
    </row>
    <row r="321" customFormat="false" ht="14.25" hidden="false" customHeight="false" outlineLevel="0" collapsed="false">
      <c r="A321" s="87"/>
      <c r="B321" s="87"/>
      <c r="C321" s="87"/>
      <c r="D321" s="87"/>
      <c r="E321" s="87"/>
    </row>
    <row r="322" customFormat="false" ht="14.25" hidden="false" customHeight="false" outlineLevel="0" collapsed="false">
      <c r="A322" s="87"/>
      <c r="B322" s="87"/>
      <c r="C322" s="87"/>
      <c r="D322" s="87"/>
      <c r="E322" s="87"/>
    </row>
    <row r="323" customFormat="false" ht="14.25" hidden="false" customHeight="false" outlineLevel="0" collapsed="false">
      <c r="A323" s="87"/>
      <c r="B323" s="87"/>
      <c r="C323" s="87"/>
      <c r="D323" s="87"/>
      <c r="E323" s="87"/>
    </row>
    <row r="324" customFormat="false" ht="14.25" hidden="false" customHeight="false" outlineLevel="0" collapsed="false">
      <c r="A324" s="87"/>
      <c r="B324" s="87"/>
      <c r="C324" s="87"/>
      <c r="D324" s="87"/>
      <c r="E324" s="87"/>
    </row>
    <row r="325" customFormat="false" ht="14.25" hidden="false" customHeight="false" outlineLevel="0" collapsed="false">
      <c r="A325" s="87"/>
      <c r="B325" s="87"/>
      <c r="C325" s="87"/>
      <c r="D325" s="87"/>
      <c r="E325" s="87"/>
    </row>
    <row r="326" customFormat="false" ht="14.25" hidden="false" customHeight="false" outlineLevel="0" collapsed="false">
      <c r="A326" s="87"/>
      <c r="B326" s="87"/>
      <c r="C326" s="87"/>
      <c r="D326" s="87"/>
      <c r="E326" s="87"/>
    </row>
    <row r="327" customFormat="false" ht="14.25" hidden="false" customHeight="false" outlineLevel="0" collapsed="false">
      <c r="A327" s="87"/>
      <c r="B327" s="87"/>
      <c r="C327" s="87"/>
      <c r="D327" s="87"/>
      <c r="E327" s="87"/>
    </row>
    <row r="328" customFormat="false" ht="14.25" hidden="false" customHeight="false" outlineLevel="0" collapsed="false">
      <c r="A328" s="87"/>
      <c r="B328" s="87"/>
      <c r="C328" s="87"/>
      <c r="D328" s="87"/>
      <c r="E328" s="87"/>
    </row>
    <row r="329" customFormat="false" ht="14.25" hidden="false" customHeight="false" outlineLevel="0" collapsed="false">
      <c r="A329" s="87"/>
      <c r="B329" s="87"/>
      <c r="C329" s="87"/>
      <c r="D329" s="87"/>
      <c r="E329" s="87"/>
    </row>
    <row r="330" customFormat="false" ht="14.25" hidden="false" customHeight="false" outlineLevel="0" collapsed="false">
      <c r="A330" s="87"/>
      <c r="B330" s="87"/>
      <c r="C330" s="87"/>
      <c r="D330" s="87"/>
      <c r="E330" s="87"/>
    </row>
    <row r="331" customFormat="false" ht="14.25" hidden="false" customHeight="false" outlineLevel="0" collapsed="false">
      <c r="A331" s="87"/>
      <c r="B331" s="87"/>
      <c r="C331" s="87"/>
      <c r="D331" s="87"/>
      <c r="E331" s="87"/>
    </row>
    <row r="332" customFormat="false" ht="14.25" hidden="false" customHeight="false" outlineLevel="0" collapsed="false">
      <c r="A332" s="87"/>
      <c r="B332" s="87"/>
      <c r="C332" s="87"/>
      <c r="D332" s="87"/>
      <c r="E332" s="87"/>
    </row>
    <row r="333" customFormat="false" ht="14.25" hidden="false" customHeight="false" outlineLevel="0" collapsed="false">
      <c r="A333" s="87"/>
      <c r="B333" s="87"/>
      <c r="C333" s="87"/>
      <c r="D333" s="87"/>
      <c r="E333" s="87"/>
    </row>
    <row r="334" customFormat="false" ht="14.25" hidden="false" customHeight="false" outlineLevel="0" collapsed="false">
      <c r="A334" s="87"/>
      <c r="B334" s="87"/>
      <c r="C334" s="87"/>
      <c r="D334" s="87"/>
      <c r="E334" s="87"/>
    </row>
    <row r="335" customFormat="false" ht="14.25" hidden="false" customHeight="false" outlineLevel="0" collapsed="false">
      <c r="A335" s="87"/>
      <c r="B335" s="87"/>
      <c r="C335" s="87"/>
      <c r="D335" s="87"/>
      <c r="E335" s="87"/>
    </row>
    <row r="336" customFormat="false" ht="14.25" hidden="false" customHeight="false" outlineLevel="0" collapsed="false">
      <c r="A336" s="87"/>
      <c r="B336" s="87"/>
      <c r="C336" s="87"/>
      <c r="D336" s="87"/>
      <c r="E336" s="87"/>
    </row>
    <row r="337" customFormat="false" ht="14.25" hidden="false" customHeight="false" outlineLevel="0" collapsed="false">
      <c r="A337" s="87"/>
      <c r="B337" s="87"/>
      <c r="C337" s="87"/>
      <c r="D337" s="87"/>
      <c r="E337" s="87"/>
    </row>
    <row r="338" customFormat="false" ht="14.25" hidden="false" customHeight="false" outlineLevel="0" collapsed="false">
      <c r="A338" s="87"/>
      <c r="B338" s="87"/>
      <c r="C338" s="87"/>
      <c r="D338" s="87"/>
      <c r="E338" s="87"/>
    </row>
    <row r="339" customFormat="false" ht="14.25" hidden="false" customHeight="false" outlineLevel="0" collapsed="false">
      <c r="A339" s="87"/>
      <c r="B339" s="87"/>
      <c r="C339" s="87"/>
      <c r="D339" s="87"/>
      <c r="E339" s="87"/>
    </row>
    <row r="340" customFormat="false" ht="14.25" hidden="false" customHeight="false" outlineLevel="0" collapsed="false">
      <c r="A340" s="87"/>
      <c r="B340" s="87"/>
      <c r="C340" s="87"/>
      <c r="D340" s="87"/>
      <c r="E340" s="87"/>
    </row>
    <row r="341" customFormat="false" ht="14.25" hidden="false" customHeight="false" outlineLevel="0" collapsed="false">
      <c r="A341" s="87"/>
      <c r="B341" s="87"/>
      <c r="C341" s="87"/>
      <c r="D341" s="87"/>
      <c r="E341" s="87"/>
    </row>
    <row r="342" customFormat="false" ht="14.25" hidden="false" customHeight="false" outlineLevel="0" collapsed="false">
      <c r="A342" s="87"/>
      <c r="B342" s="87"/>
      <c r="C342" s="87"/>
      <c r="D342" s="87"/>
      <c r="E342" s="87"/>
    </row>
    <row r="343" customFormat="false" ht="14.25" hidden="false" customHeight="false" outlineLevel="0" collapsed="false">
      <c r="A343" s="87"/>
      <c r="B343" s="87"/>
      <c r="C343" s="87"/>
      <c r="D343" s="87"/>
      <c r="E343" s="87"/>
    </row>
    <row r="344" customFormat="false" ht="14.25" hidden="false" customHeight="false" outlineLevel="0" collapsed="false">
      <c r="A344" s="87"/>
      <c r="B344" s="87"/>
      <c r="C344" s="87"/>
      <c r="D344" s="87"/>
      <c r="E344" s="87"/>
    </row>
    <row r="345" customFormat="false" ht="14.25" hidden="false" customHeight="false" outlineLevel="0" collapsed="false">
      <c r="A345" s="87"/>
      <c r="B345" s="87"/>
      <c r="C345" s="87"/>
      <c r="D345" s="87"/>
      <c r="E345" s="87"/>
    </row>
    <row r="346" customFormat="false" ht="14.25" hidden="false" customHeight="false" outlineLevel="0" collapsed="false">
      <c r="A346" s="87"/>
      <c r="B346" s="87"/>
      <c r="C346" s="87"/>
      <c r="D346" s="87"/>
      <c r="E346" s="87"/>
    </row>
    <row r="347" customFormat="false" ht="14.25" hidden="false" customHeight="false" outlineLevel="0" collapsed="false">
      <c r="A347" s="87"/>
      <c r="B347" s="87"/>
      <c r="C347" s="87"/>
      <c r="D347" s="87"/>
      <c r="E347" s="87"/>
    </row>
    <row r="348" customFormat="false" ht="14.25" hidden="false" customHeight="false" outlineLevel="0" collapsed="false">
      <c r="A348" s="87"/>
      <c r="B348" s="87"/>
      <c r="C348" s="87"/>
      <c r="D348" s="87"/>
      <c r="E348" s="87"/>
    </row>
    <row r="349" customFormat="false" ht="14.25" hidden="false" customHeight="false" outlineLevel="0" collapsed="false">
      <c r="A349" s="87"/>
      <c r="B349" s="87"/>
      <c r="C349" s="87"/>
      <c r="D349" s="87"/>
      <c r="E349" s="87"/>
    </row>
    <row r="350" customFormat="false" ht="14.25" hidden="false" customHeight="false" outlineLevel="0" collapsed="false">
      <c r="A350" s="87"/>
      <c r="B350" s="87"/>
      <c r="C350" s="87"/>
      <c r="D350" s="87"/>
      <c r="E350" s="87"/>
    </row>
    <row r="351" customFormat="false" ht="14.25" hidden="false" customHeight="false" outlineLevel="0" collapsed="false">
      <c r="A351" s="87"/>
      <c r="B351" s="87"/>
      <c r="C351" s="87"/>
      <c r="D351" s="87"/>
      <c r="E351" s="87"/>
    </row>
    <row r="352" customFormat="false" ht="14.25" hidden="false" customHeight="false" outlineLevel="0" collapsed="false">
      <c r="A352" s="87"/>
      <c r="B352" s="87"/>
      <c r="C352" s="87"/>
      <c r="D352" s="87"/>
      <c r="E352" s="87"/>
    </row>
    <row r="353" customFormat="false" ht="14.25" hidden="false" customHeight="false" outlineLevel="0" collapsed="false">
      <c r="A353" s="87"/>
      <c r="B353" s="87"/>
      <c r="C353" s="87"/>
      <c r="D353" s="87"/>
      <c r="E353" s="87"/>
    </row>
    <row r="354" customFormat="false" ht="14.25" hidden="false" customHeight="false" outlineLevel="0" collapsed="false">
      <c r="A354" s="87"/>
      <c r="B354" s="87"/>
      <c r="C354" s="87"/>
      <c r="D354" s="87"/>
      <c r="E354" s="87"/>
    </row>
    <row r="355" customFormat="false" ht="14.25" hidden="false" customHeight="false" outlineLevel="0" collapsed="false">
      <c r="A355" s="87"/>
      <c r="B355" s="87"/>
      <c r="C355" s="87"/>
      <c r="D355" s="87"/>
      <c r="E355" s="87"/>
    </row>
    <row r="356" customFormat="false" ht="14.25" hidden="false" customHeight="false" outlineLevel="0" collapsed="false">
      <c r="A356" s="87"/>
      <c r="B356" s="87"/>
      <c r="C356" s="87"/>
      <c r="D356" s="87"/>
      <c r="E356" s="87"/>
    </row>
    <row r="357" customFormat="false" ht="14.25" hidden="false" customHeight="false" outlineLevel="0" collapsed="false">
      <c r="A357" s="87"/>
      <c r="B357" s="87"/>
      <c r="C357" s="87"/>
      <c r="D357" s="87"/>
      <c r="E357" s="87"/>
    </row>
    <row r="358" customFormat="false" ht="14.25" hidden="false" customHeight="false" outlineLevel="0" collapsed="false">
      <c r="A358" s="87"/>
      <c r="B358" s="87"/>
      <c r="C358" s="87"/>
      <c r="D358" s="87"/>
      <c r="E358" s="87"/>
    </row>
  </sheetData>
  <mergeCells count="374">
    <mergeCell ref="A3:AU3"/>
    <mergeCell ref="A5:E5"/>
    <mergeCell ref="F5:M5"/>
    <mergeCell ref="N5:U5"/>
    <mergeCell ref="V5:AG5"/>
    <mergeCell ref="AH5:AS5"/>
    <mergeCell ref="A6:E6"/>
    <mergeCell ref="F6:I6"/>
    <mergeCell ref="J6:M6"/>
    <mergeCell ref="N6:Q6"/>
    <mergeCell ref="R6:U6"/>
    <mergeCell ref="V6:Y6"/>
    <mergeCell ref="Z6:AC6"/>
    <mergeCell ref="AD6:AG6"/>
    <mergeCell ref="AH6:AK6"/>
    <mergeCell ref="AL6:AO6"/>
    <mergeCell ref="AP6:AS6"/>
    <mergeCell ref="A7:B7"/>
    <mergeCell ref="F7:I7"/>
    <mergeCell ref="J7:M7"/>
    <mergeCell ref="N7:Q7"/>
    <mergeCell ref="R7:U7"/>
    <mergeCell ref="V7:Y7"/>
    <mergeCell ref="Z7:AC7"/>
    <mergeCell ref="AD7:AG7"/>
    <mergeCell ref="AH7:AK7"/>
    <mergeCell ref="AL7:AO7"/>
    <mergeCell ref="AP7:AS7"/>
    <mergeCell ref="A8:E8"/>
    <mergeCell ref="AT8:AU8"/>
    <mergeCell ref="AV8:AW8"/>
    <mergeCell ref="AT9:AW9"/>
    <mergeCell ref="AV17:AW17"/>
    <mergeCell ref="A18:AU18"/>
    <mergeCell ref="A19:E19"/>
    <mergeCell ref="A20:E20"/>
    <mergeCell ref="A21:E21"/>
    <mergeCell ref="A22:E22"/>
    <mergeCell ref="A23:E23"/>
    <mergeCell ref="A24:E24"/>
    <mergeCell ref="A25:E25"/>
    <mergeCell ref="A26:E26"/>
    <mergeCell ref="A27:E27"/>
    <mergeCell ref="A28:E28"/>
    <mergeCell ref="A29:E29"/>
    <mergeCell ref="A30:E30"/>
    <mergeCell ref="A31:E31"/>
    <mergeCell ref="A32:E32"/>
    <mergeCell ref="A33:E33"/>
    <mergeCell ref="A34:E34"/>
    <mergeCell ref="A35:E35"/>
    <mergeCell ref="A36:E36"/>
    <mergeCell ref="A37:E37"/>
    <mergeCell ref="A38:E38"/>
    <mergeCell ref="A39:E39"/>
    <mergeCell ref="A40:E40"/>
    <mergeCell ref="A41:E41"/>
    <mergeCell ref="A42:E42"/>
    <mergeCell ref="A43:E43"/>
    <mergeCell ref="A44:E44"/>
    <mergeCell ref="A45:E45"/>
    <mergeCell ref="A46:E46"/>
    <mergeCell ref="A47:E47"/>
    <mergeCell ref="A48:E48"/>
    <mergeCell ref="A49:E49"/>
    <mergeCell ref="A50:E50"/>
    <mergeCell ref="A51:E51"/>
    <mergeCell ref="A52:E52"/>
    <mergeCell ref="A53:E53"/>
    <mergeCell ref="A54:E54"/>
    <mergeCell ref="A55:E55"/>
    <mergeCell ref="A56:E56"/>
    <mergeCell ref="A57:E57"/>
    <mergeCell ref="A58:E58"/>
    <mergeCell ref="A59:E59"/>
    <mergeCell ref="A60:E60"/>
    <mergeCell ref="A61:E61"/>
    <mergeCell ref="A62:E62"/>
    <mergeCell ref="A63:E63"/>
    <mergeCell ref="A64:E64"/>
    <mergeCell ref="A65:E65"/>
    <mergeCell ref="A66:E66"/>
    <mergeCell ref="A67:E67"/>
    <mergeCell ref="A68:E68"/>
    <mergeCell ref="A69:E69"/>
    <mergeCell ref="A70:E70"/>
    <mergeCell ref="A71:E71"/>
    <mergeCell ref="A72:E72"/>
    <mergeCell ref="A73:E73"/>
    <mergeCell ref="A74:E74"/>
    <mergeCell ref="A75:E75"/>
    <mergeCell ref="A76:E76"/>
    <mergeCell ref="A77:E77"/>
    <mergeCell ref="A78:E78"/>
    <mergeCell ref="A79:E79"/>
    <mergeCell ref="A80:E80"/>
    <mergeCell ref="A81:E81"/>
    <mergeCell ref="A82:E82"/>
    <mergeCell ref="A83:E83"/>
    <mergeCell ref="A84:E84"/>
    <mergeCell ref="A85:E85"/>
    <mergeCell ref="A86:E86"/>
    <mergeCell ref="A87:E87"/>
    <mergeCell ref="A88:E88"/>
    <mergeCell ref="A89:E89"/>
    <mergeCell ref="A90:E90"/>
    <mergeCell ref="A91:E91"/>
    <mergeCell ref="A92:E92"/>
    <mergeCell ref="A93:E93"/>
    <mergeCell ref="A94:E94"/>
    <mergeCell ref="A95:E95"/>
    <mergeCell ref="A96:E96"/>
    <mergeCell ref="A97:E97"/>
    <mergeCell ref="A98:E98"/>
    <mergeCell ref="A99:E99"/>
    <mergeCell ref="A100:E100"/>
    <mergeCell ref="A101:E101"/>
    <mergeCell ref="A102:E102"/>
    <mergeCell ref="A103:E103"/>
    <mergeCell ref="A104:E104"/>
    <mergeCell ref="A105:E105"/>
    <mergeCell ref="A106:E106"/>
    <mergeCell ref="A107:E107"/>
    <mergeCell ref="A108:E108"/>
    <mergeCell ref="A109:E109"/>
    <mergeCell ref="A110:E110"/>
    <mergeCell ref="A111:E111"/>
    <mergeCell ref="A112:E112"/>
    <mergeCell ref="A113:E113"/>
    <mergeCell ref="A114:E114"/>
    <mergeCell ref="A115:E115"/>
    <mergeCell ref="A116:E116"/>
    <mergeCell ref="A117:E117"/>
    <mergeCell ref="A118:E118"/>
    <mergeCell ref="A119:E119"/>
    <mergeCell ref="A120:E120"/>
    <mergeCell ref="A121:E121"/>
    <mergeCell ref="A122:E122"/>
    <mergeCell ref="A123:E123"/>
    <mergeCell ref="A124:E124"/>
    <mergeCell ref="A125:E125"/>
    <mergeCell ref="A126:E126"/>
    <mergeCell ref="A127:E127"/>
    <mergeCell ref="A128:E128"/>
    <mergeCell ref="A129:E129"/>
    <mergeCell ref="A130:E130"/>
    <mergeCell ref="A131:E131"/>
    <mergeCell ref="A132:E132"/>
    <mergeCell ref="A133:E133"/>
    <mergeCell ref="A134:E134"/>
    <mergeCell ref="A135:E135"/>
    <mergeCell ref="A136:E136"/>
    <mergeCell ref="A137:E137"/>
    <mergeCell ref="A138:E138"/>
    <mergeCell ref="A139:E139"/>
    <mergeCell ref="A140:E140"/>
    <mergeCell ref="A141:E141"/>
    <mergeCell ref="A142:E142"/>
    <mergeCell ref="A143:E143"/>
    <mergeCell ref="A144:E144"/>
    <mergeCell ref="A145:E145"/>
    <mergeCell ref="A146:E146"/>
    <mergeCell ref="A147:E147"/>
    <mergeCell ref="A148:E148"/>
    <mergeCell ref="A149:E149"/>
    <mergeCell ref="A150:E150"/>
    <mergeCell ref="A151:E151"/>
    <mergeCell ref="A152:E152"/>
    <mergeCell ref="A153:E153"/>
    <mergeCell ref="A154:E154"/>
    <mergeCell ref="A155:E155"/>
    <mergeCell ref="A156:E156"/>
    <mergeCell ref="A157:E157"/>
    <mergeCell ref="A158:E158"/>
    <mergeCell ref="A159:E159"/>
    <mergeCell ref="A160:E160"/>
    <mergeCell ref="A161:E161"/>
    <mergeCell ref="A162:E162"/>
    <mergeCell ref="A163:E163"/>
    <mergeCell ref="A164:E164"/>
    <mergeCell ref="A165:E165"/>
    <mergeCell ref="A166:E166"/>
    <mergeCell ref="A167:E167"/>
    <mergeCell ref="A168:E168"/>
    <mergeCell ref="A169:E169"/>
    <mergeCell ref="A170:E170"/>
    <mergeCell ref="A171:E171"/>
    <mergeCell ref="A172:E172"/>
    <mergeCell ref="A173:E173"/>
    <mergeCell ref="A174:E174"/>
    <mergeCell ref="A175:E175"/>
    <mergeCell ref="A176:E176"/>
    <mergeCell ref="A177:E177"/>
    <mergeCell ref="A178:E178"/>
    <mergeCell ref="A179:E179"/>
    <mergeCell ref="A180:E180"/>
    <mergeCell ref="A181:E181"/>
    <mergeCell ref="A182:E182"/>
    <mergeCell ref="A183:E183"/>
    <mergeCell ref="A184:E184"/>
    <mergeCell ref="A185:E185"/>
    <mergeCell ref="A186:E186"/>
    <mergeCell ref="A187:E187"/>
    <mergeCell ref="A188:E188"/>
    <mergeCell ref="A189:E189"/>
    <mergeCell ref="A190:E190"/>
    <mergeCell ref="A191:E191"/>
    <mergeCell ref="A192:E192"/>
    <mergeCell ref="A193:E193"/>
    <mergeCell ref="A194:E194"/>
    <mergeCell ref="A195:E195"/>
    <mergeCell ref="A196:E196"/>
    <mergeCell ref="A197:E197"/>
    <mergeCell ref="A198:E198"/>
    <mergeCell ref="A199:E199"/>
    <mergeCell ref="A200:E200"/>
    <mergeCell ref="A201:E201"/>
    <mergeCell ref="A202:E202"/>
    <mergeCell ref="A203:E203"/>
    <mergeCell ref="A204:E204"/>
    <mergeCell ref="A205:E205"/>
    <mergeCell ref="A206:E206"/>
    <mergeCell ref="A207:E207"/>
    <mergeCell ref="A208:E208"/>
    <mergeCell ref="A209:E209"/>
    <mergeCell ref="A210:E210"/>
    <mergeCell ref="A211:E211"/>
    <mergeCell ref="A212:E212"/>
    <mergeCell ref="A213:E213"/>
    <mergeCell ref="A214:E214"/>
    <mergeCell ref="A215:E215"/>
    <mergeCell ref="A216:E216"/>
    <mergeCell ref="A217:E217"/>
    <mergeCell ref="A218:E218"/>
    <mergeCell ref="A219:E219"/>
    <mergeCell ref="A220:E220"/>
    <mergeCell ref="A221:E221"/>
    <mergeCell ref="A222:E222"/>
    <mergeCell ref="A223:E223"/>
    <mergeCell ref="A224:E224"/>
    <mergeCell ref="A225:E225"/>
    <mergeCell ref="A226:E226"/>
    <mergeCell ref="A227:E227"/>
    <mergeCell ref="A228:E228"/>
    <mergeCell ref="A229:E229"/>
    <mergeCell ref="A230:E230"/>
    <mergeCell ref="A231:E231"/>
    <mergeCell ref="A232:E232"/>
    <mergeCell ref="A233:E233"/>
    <mergeCell ref="A234:E234"/>
    <mergeCell ref="A235:E235"/>
    <mergeCell ref="A236:E236"/>
    <mergeCell ref="A237:E237"/>
    <mergeCell ref="A238:E238"/>
    <mergeCell ref="A239:E239"/>
    <mergeCell ref="A240:E240"/>
    <mergeCell ref="A241:E241"/>
    <mergeCell ref="A242:E242"/>
    <mergeCell ref="A243:E243"/>
    <mergeCell ref="A244:E244"/>
    <mergeCell ref="A245:E245"/>
    <mergeCell ref="A246:E246"/>
    <mergeCell ref="A247:E247"/>
    <mergeCell ref="A248:E248"/>
    <mergeCell ref="A249:E249"/>
    <mergeCell ref="A250:E250"/>
    <mergeCell ref="A251:E251"/>
    <mergeCell ref="A252:E252"/>
    <mergeCell ref="A253:E253"/>
    <mergeCell ref="A254:E254"/>
    <mergeCell ref="A255:E255"/>
    <mergeCell ref="A256:E256"/>
    <mergeCell ref="A257:E257"/>
    <mergeCell ref="A258:E258"/>
    <mergeCell ref="A259:E259"/>
    <mergeCell ref="A260:E260"/>
    <mergeCell ref="A261:E261"/>
    <mergeCell ref="A262:E262"/>
    <mergeCell ref="A263:E263"/>
    <mergeCell ref="A264:E264"/>
    <mergeCell ref="A265:E265"/>
    <mergeCell ref="A266:E266"/>
    <mergeCell ref="A267:E267"/>
    <mergeCell ref="A268:E268"/>
    <mergeCell ref="A269:E269"/>
    <mergeCell ref="A270:E270"/>
    <mergeCell ref="A271:E271"/>
    <mergeCell ref="A272:E272"/>
    <mergeCell ref="A273:E273"/>
    <mergeCell ref="A274:E274"/>
    <mergeCell ref="A275:E275"/>
    <mergeCell ref="A276:E276"/>
    <mergeCell ref="A277:E277"/>
    <mergeCell ref="A278:E278"/>
    <mergeCell ref="A279:E279"/>
    <mergeCell ref="A280:E280"/>
    <mergeCell ref="A281:E281"/>
    <mergeCell ref="A282:E282"/>
    <mergeCell ref="A283:E283"/>
    <mergeCell ref="A284:E284"/>
    <mergeCell ref="A285:E285"/>
    <mergeCell ref="A286:E286"/>
    <mergeCell ref="A287:E287"/>
    <mergeCell ref="A288:E288"/>
    <mergeCell ref="A289:E289"/>
    <mergeCell ref="A290:E290"/>
    <mergeCell ref="A291:E291"/>
    <mergeCell ref="A292:E292"/>
    <mergeCell ref="A293:E293"/>
    <mergeCell ref="A294:E294"/>
    <mergeCell ref="A295:E295"/>
    <mergeCell ref="A296:E296"/>
    <mergeCell ref="A297:E297"/>
    <mergeCell ref="A298:E298"/>
    <mergeCell ref="A299:E299"/>
    <mergeCell ref="A300:E300"/>
    <mergeCell ref="A301:E301"/>
    <mergeCell ref="A302:E302"/>
    <mergeCell ref="A303:E303"/>
    <mergeCell ref="A304:E304"/>
    <mergeCell ref="A305:E305"/>
    <mergeCell ref="A306:E306"/>
    <mergeCell ref="A307:E307"/>
    <mergeCell ref="A308:E308"/>
    <mergeCell ref="A309:E309"/>
    <mergeCell ref="A310:E310"/>
    <mergeCell ref="A311:E311"/>
    <mergeCell ref="A312:E312"/>
    <mergeCell ref="A313:E313"/>
    <mergeCell ref="A314:E314"/>
    <mergeCell ref="A315:E315"/>
    <mergeCell ref="A316:E316"/>
    <mergeCell ref="A317:E317"/>
    <mergeCell ref="A318:E318"/>
    <mergeCell ref="A319:E319"/>
    <mergeCell ref="A320:E320"/>
    <mergeCell ref="A321:E321"/>
    <mergeCell ref="A322:E322"/>
    <mergeCell ref="A323:E323"/>
    <mergeCell ref="A324:E324"/>
    <mergeCell ref="A325:E325"/>
    <mergeCell ref="A326:E326"/>
    <mergeCell ref="A327:E327"/>
    <mergeCell ref="A328:E328"/>
    <mergeCell ref="A329:E329"/>
    <mergeCell ref="A330:E330"/>
    <mergeCell ref="A331:E331"/>
    <mergeCell ref="A332:E332"/>
    <mergeCell ref="A333:E333"/>
    <mergeCell ref="A334:E334"/>
    <mergeCell ref="A335:E335"/>
    <mergeCell ref="A336:E336"/>
    <mergeCell ref="A337:E337"/>
    <mergeCell ref="A338:E338"/>
    <mergeCell ref="A339:E339"/>
    <mergeCell ref="A340:E340"/>
    <mergeCell ref="A341:E341"/>
    <mergeCell ref="A342:E342"/>
    <mergeCell ref="A343:E343"/>
    <mergeCell ref="A344:E344"/>
    <mergeCell ref="A345:E345"/>
    <mergeCell ref="A346:E346"/>
    <mergeCell ref="A347:E347"/>
    <mergeCell ref="A348:E348"/>
    <mergeCell ref="A349:E349"/>
    <mergeCell ref="A350:E350"/>
    <mergeCell ref="A351:E351"/>
    <mergeCell ref="A352:E352"/>
    <mergeCell ref="A353:E353"/>
    <mergeCell ref="A354:E354"/>
    <mergeCell ref="A355:E355"/>
    <mergeCell ref="A356:E356"/>
    <mergeCell ref="A357:E357"/>
    <mergeCell ref="A358:E358"/>
  </mergeCells>
  <conditionalFormatting sqref="T10:T17 L10:L17 H10:H17 AJ10:AJ17 P10:P17 AF10:AF17 L19 H19 P19 T19 AF19 AJ19 AT19 AR19 AN10:AN17 AN19 AR10:AR17 X10:X17 AB10:AB17 X19 AB19">
    <cfRule type="cellIs" priority="2" operator="between" aboveAverage="0" equalAverage="0" bottom="0" percent="0" rank="0" text="" dxfId="0">
      <formula>10</formula>
      <formula>20</formula>
    </cfRule>
    <cfRule type="cellIs" priority="3" operator="between" aboveAverage="0" equalAverage="0" bottom="0" percent="0" rank="0" text="" dxfId="1">
      <formula>0</formula>
      <formula>9.99</formula>
    </cfRule>
  </conditionalFormatting>
  <conditionalFormatting sqref="AT10:AT17">
    <cfRule type="cellIs" priority="4" operator="between" aboveAverage="0" equalAverage="0" bottom="0" percent="0" rank="0" text="" dxfId="2">
      <formula>0</formula>
      <formula>9</formula>
    </cfRule>
    <cfRule type="cellIs" priority="5" operator="between" aboveAverage="0" equalAverage="0" bottom="0" percent="0" rank="0" text="" dxfId="3">
      <formula>10</formula>
      <formula>20</formula>
    </cfRule>
  </conditionalFormatting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E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E1" activeCellId="0" sqref="E1"/>
    </sheetView>
  </sheetViews>
  <sheetFormatPr defaultColWidth="10.59765625" defaultRowHeight="14.25" customHeight="false" zeroHeight="false" outlineLevelRow="0" outlineLevelCol="0"/>
  <cols>
    <col collapsed="false" customWidth="true" hidden="false" outlineLevel="0" max="1" min="1" style="0" width="24.78"/>
    <col collapsed="false" customWidth="true" hidden="false" outlineLevel="0" max="2" min="2" style="0" width="22.78"/>
    <col collapsed="false" customWidth="true" hidden="false" outlineLevel="0" max="5" min="5" style="0" width="38.11"/>
  </cols>
  <sheetData>
    <row r="1" customFormat="false" ht="14.9" hidden="false" customHeight="false" outlineLevel="0" collapsed="false">
      <c r="A1" s="91" t="s">
        <v>51</v>
      </c>
      <c r="B1" s="92" t="s">
        <v>52</v>
      </c>
      <c r="E1" s="0" t="str">
        <f aca="false">CONCATENATE(A1," ",B1)</f>
        <v>ABA NGUEMAH Samuel Junior</v>
      </c>
    </row>
    <row r="2" customFormat="false" ht="14.9" hidden="false" customHeight="false" outlineLevel="0" collapsed="false">
      <c r="A2" s="93" t="s">
        <v>53</v>
      </c>
      <c r="B2" s="94" t="s">
        <v>54</v>
      </c>
      <c r="E2" s="0" t="str">
        <f aca="false">CONCATENATE(A2," ",B2)</f>
        <v>ISSANGA-ANGOUE Quessia Germie</v>
      </c>
    </row>
    <row r="3" customFormat="false" ht="14.9" hidden="false" customHeight="false" outlineLevel="0" collapsed="false">
      <c r="A3" s="93" t="s">
        <v>55</v>
      </c>
      <c r="B3" s="94" t="s">
        <v>56</v>
      </c>
      <c r="E3" s="0" t="str">
        <f aca="false">CONCATENATE(A3," ",B3)</f>
        <v>MBADINGA IBOUANGA Evariste Firmin Désye</v>
      </c>
    </row>
    <row r="4" customFormat="false" ht="14.9" hidden="false" customHeight="false" outlineLevel="0" collapsed="false">
      <c r="A4" s="93" t="s">
        <v>57</v>
      </c>
      <c r="B4" s="94" t="s">
        <v>58</v>
      </c>
      <c r="E4" s="0" t="str">
        <f aca="false">CONCATENATE(A4," ",B4)</f>
        <v>NZOUGHE NGUEMA Paul Alain</v>
      </c>
    </row>
    <row r="5" customFormat="false" ht="14.9" hidden="false" customHeight="false" outlineLevel="0" collapsed="false">
      <c r="A5" s="93" t="s">
        <v>59</v>
      </c>
      <c r="B5" s="94" t="s">
        <v>60</v>
      </c>
      <c r="E5" s="0" t="str">
        <f aca="false">CONCATENATE(A5," ",B5)</f>
        <v>OTSAGHE Joseph Alexandre</v>
      </c>
    </row>
    <row r="6" customFormat="false" ht="14.25" hidden="false" customHeight="false" outlineLevel="0" collapsed="false">
      <c r="A6" s="95" t="s">
        <v>61</v>
      </c>
      <c r="B6" s="96" t="s">
        <v>62</v>
      </c>
      <c r="E6" s="0" t="str">
        <f aca="false">CONCATENATE(A6," ",B6)</f>
        <v>PAMBOU Christine Bienheureuse</v>
      </c>
    </row>
    <row r="7" customFormat="false" ht="15" hidden="false" customHeight="false" outlineLevel="0" collapsed="false"/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7030A0"/>
    <pageSetUpPr fitToPage="false"/>
  </sheetPr>
  <dimension ref="A4:O42"/>
  <sheetViews>
    <sheetView showFormulas="false" showGridLines="false" showRowColHeaders="true" showZeros="true" rightToLeft="false" tabSelected="false" showOutlineSymbols="true" defaultGridColor="true" view="normal" topLeftCell="A8" colorId="64" zoomScale="100" zoomScaleNormal="100" zoomScalePageLayoutView="100" workbookViewId="0">
      <selection pane="topLeft" activeCell="B35" activeCellId="0" sqref="B35"/>
    </sheetView>
  </sheetViews>
  <sheetFormatPr defaultColWidth="10.890625" defaultRowHeight="14.25" customHeight="false" zeroHeight="false" outlineLevelRow="0" outlineLevelCol="0"/>
  <cols>
    <col collapsed="false" customWidth="true" hidden="false" outlineLevel="0" max="1" min="1" style="97" width="1.89"/>
    <col collapsed="false" customWidth="false" hidden="false" outlineLevel="0" max="2" min="2" style="97" width="10.89"/>
    <col collapsed="false" customWidth="true" hidden="false" outlineLevel="0" max="3" min="3" style="97" width="9.11"/>
    <col collapsed="false" customWidth="true" hidden="false" outlineLevel="0" max="4" min="4" style="97" width="21"/>
    <col collapsed="false" customWidth="true" hidden="false" outlineLevel="0" max="5" min="5" style="97" width="30.44"/>
    <col collapsed="false" customWidth="true" hidden="false" outlineLevel="0" max="6" min="6" style="97" width="11.67"/>
    <col collapsed="false" customWidth="true" hidden="false" outlineLevel="0" max="7" min="7" style="97" width="7.67"/>
    <col collapsed="false" customWidth="true" hidden="false" outlineLevel="0" max="9" min="8" style="97" width="6.67"/>
    <col collapsed="false" customWidth="true" hidden="false" outlineLevel="0" max="10" min="10" style="97" width="7.55"/>
    <col collapsed="false" customWidth="true" hidden="false" outlineLevel="0" max="11" min="11" style="97" width="7.89"/>
    <col collapsed="false" customWidth="true" hidden="false" outlineLevel="0" max="12" min="12" style="97" width="7.45"/>
    <col collapsed="false" customWidth="true" hidden="false" outlineLevel="0" max="13" min="13" style="97" width="10.67"/>
    <col collapsed="false" customWidth="true" hidden="false" outlineLevel="0" max="14" min="14" style="97" width="4.67"/>
    <col collapsed="false" customWidth="true" hidden="false" outlineLevel="0" max="15" min="15" style="97" width="4.11"/>
    <col collapsed="false" customWidth="false" hidden="false" outlineLevel="0" max="16384" min="16" style="97" width="10.89"/>
  </cols>
  <sheetData>
    <row r="4" customFormat="false" ht="14.25" hidden="false" customHeight="true" outlineLevel="0" collapsed="false">
      <c r="E4" s="98" t="s">
        <v>63</v>
      </c>
      <c r="F4" s="98"/>
      <c r="G4" s="98"/>
      <c r="H4" s="98"/>
      <c r="I4" s="98"/>
      <c r="J4" s="98"/>
      <c r="K4" s="98"/>
      <c r="L4" s="98"/>
      <c r="M4" s="98"/>
    </row>
    <row r="5" customFormat="false" ht="14.25" hidden="false" customHeight="false" outlineLevel="0" collapsed="false">
      <c r="E5" s="98"/>
      <c r="F5" s="98"/>
      <c r="G5" s="98"/>
      <c r="H5" s="98"/>
      <c r="I5" s="98"/>
      <c r="J5" s="98"/>
      <c r="K5" s="98"/>
      <c r="L5" s="98"/>
      <c r="M5" s="98"/>
    </row>
    <row r="6" customFormat="false" ht="14.25" hidden="false" customHeight="false" outlineLevel="0" collapsed="false">
      <c r="E6" s="98"/>
      <c r="F6" s="98"/>
      <c r="G6" s="98"/>
      <c r="H6" s="98"/>
      <c r="I6" s="98"/>
      <c r="J6" s="98"/>
      <c r="K6" s="98"/>
      <c r="L6" s="98"/>
      <c r="M6" s="98"/>
    </row>
    <row r="7" customFormat="false" ht="14.25" hidden="false" customHeight="false" outlineLevel="0" collapsed="false">
      <c r="E7" s="98"/>
      <c r="F7" s="98"/>
      <c r="G7" s="98"/>
      <c r="H7" s="98"/>
      <c r="I7" s="98"/>
      <c r="J7" s="98"/>
      <c r="K7" s="98"/>
      <c r="L7" s="98"/>
      <c r="M7" s="98"/>
    </row>
    <row r="8" customFormat="false" ht="18" hidden="false" customHeight="true" outlineLevel="0" collapsed="false">
      <c r="A8" s="99"/>
      <c r="B8" s="100" t="s">
        <v>64</v>
      </c>
      <c r="C8" s="100"/>
      <c r="D8" s="100"/>
      <c r="E8" s="100"/>
      <c r="F8" s="100"/>
      <c r="G8" s="100"/>
      <c r="H8" s="100"/>
      <c r="I8" s="100"/>
      <c r="J8" s="100"/>
      <c r="K8" s="100"/>
      <c r="L8" s="100"/>
      <c r="M8" s="100"/>
      <c r="N8" s="99"/>
      <c r="O8" s="99"/>
    </row>
    <row r="9" customFormat="false" ht="11.25" hidden="false" customHeight="true" outlineLevel="0" collapsed="false">
      <c r="B9" s="101"/>
      <c r="C9" s="101"/>
      <c r="D9" s="101"/>
      <c r="E9" s="101"/>
      <c r="F9" s="101"/>
      <c r="G9" s="101"/>
      <c r="H9" s="101"/>
      <c r="I9" s="101"/>
      <c r="J9" s="101"/>
      <c r="K9" s="101"/>
      <c r="L9" s="101"/>
      <c r="M9" s="101"/>
    </row>
    <row r="10" s="102" customFormat="true" ht="16.5" hidden="false" customHeight="true" outlineLevel="0" collapsed="false">
      <c r="B10" s="103" t="s">
        <v>65</v>
      </c>
      <c r="C10" s="104" t="str">
        <f aca="false">'SEMESTRE N°5'!A10</f>
        <v>ABA NGUEMAH Samuel Junior</v>
      </c>
      <c r="D10" s="104"/>
      <c r="E10" s="104"/>
      <c r="F10" s="103" t="s">
        <v>66</v>
      </c>
      <c r="G10" s="105" t="s">
        <v>67</v>
      </c>
      <c r="H10" s="105"/>
      <c r="I10" s="105"/>
      <c r="J10" s="105"/>
      <c r="K10" s="105"/>
      <c r="L10" s="105"/>
      <c r="M10" s="105"/>
    </row>
    <row r="11" s="102" customFormat="true" ht="16.5" hidden="false" customHeight="true" outlineLevel="0" collapsed="false">
      <c r="B11" s="106" t="s">
        <v>68</v>
      </c>
      <c r="C11" s="106"/>
      <c r="D11" s="107" t="str">
        <f aca="false">'SEMESTRE N°5'!B10</f>
        <v>27/11/2002</v>
      </c>
      <c r="E11" s="107"/>
      <c r="F11" s="103" t="s">
        <v>69</v>
      </c>
      <c r="G11" s="105" t="s">
        <v>70</v>
      </c>
      <c r="H11" s="105"/>
      <c r="I11" s="105"/>
      <c r="J11" s="105"/>
      <c r="K11" s="105"/>
      <c r="L11" s="105"/>
      <c r="M11" s="105"/>
    </row>
    <row r="12" s="102" customFormat="true" ht="16.5" hidden="false" customHeight="true" outlineLevel="0" collapsed="false">
      <c r="B12" s="103" t="s">
        <v>71</v>
      </c>
      <c r="C12" s="108" t="str">
        <f aca="false">'SEMESTRE N°5'!C10</f>
        <v>Gabonaise</v>
      </c>
      <c r="D12" s="108"/>
      <c r="E12" s="108"/>
      <c r="F12" s="103" t="s">
        <v>72</v>
      </c>
      <c r="G12" s="105" t="str">
        <f aca="false">A42</f>
        <v>Informatique &amp; Monétique Bancaire</v>
      </c>
      <c r="H12" s="105"/>
      <c r="I12" s="105"/>
      <c r="J12" s="105"/>
      <c r="K12" s="105"/>
      <c r="L12" s="105"/>
      <c r="M12" s="105"/>
    </row>
    <row r="13" s="102" customFormat="true" ht="16.5" hidden="false" customHeight="true" outlineLevel="0" collapsed="false">
      <c r="B13" s="103" t="s">
        <v>73</v>
      </c>
      <c r="C13" s="107" t="n">
        <f aca="false">'SEMESTRE N°5'!D10</f>
        <v>42022</v>
      </c>
      <c r="D13" s="107"/>
      <c r="E13" s="107"/>
      <c r="F13" s="103" t="s">
        <v>74</v>
      </c>
      <c r="G13" s="109" t="s">
        <v>75</v>
      </c>
      <c r="H13" s="109"/>
      <c r="I13" s="109"/>
      <c r="J13" s="109"/>
      <c r="K13" s="109"/>
      <c r="L13" s="109"/>
      <c r="M13" s="109"/>
    </row>
    <row r="14" customFormat="false" ht="14.25" hidden="false" customHeight="false" outlineLevel="0" collapsed="false">
      <c r="B14" s="110" t="s">
        <v>76</v>
      </c>
      <c r="C14" s="110"/>
      <c r="D14" s="110"/>
      <c r="E14" s="111" t="s">
        <v>77</v>
      </c>
      <c r="F14" s="111"/>
      <c r="G14" s="112" t="s">
        <v>78</v>
      </c>
      <c r="H14" s="112"/>
      <c r="I14" s="112"/>
      <c r="J14" s="112"/>
      <c r="K14" s="112"/>
      <c r="L14" s="112"/>
      <c r="M14" s="112"/>
    </row>
    <row r="15" customFormat="false" ht="14.25" hidden="false" customHeight="false" outlineLevel="0" collapsed="false">
      <c r="B15" s="110"/>
      <c r="C15" s="110"/>
      <c r="D15" s="110"/>
      <c r="E15" s="111"/>
      <c r="F15" s="111"/>
      <c r="G15" s="112" t="s">
        <v>79</v>
      </c>
      <c r="H15" s="112"/>
      <c r="I15" s="112"/>
      <c r="J15" s="113" t="s">
        <v>80</v>
      </c>
      <c r="K15" s="113"/>
      <c r="L15" s="113"/>
      <c r="M15" s="114" t="s">
        <v>81</v>
      </c>
      <c r="N15" s="115"/>
    </row>
    <row r="16" customFormat="false" ht="14.25" hidden="false" customHeight="false" outlineLevel="0" collapsed="false">
      <c r="B16" s="116" t="s">
        <v>82</v>
      </c>
      <c r="C16" s="117" t="s">
        <v>83</v>
      </c>
      <c r="D16" s="117"/>
      <c r="E16" s="118" t="s">
        <v>83</v>
      </c>
      <c r="F16" s="118" t="s">
        <v>84</v>
      </c>
      <c r="G16" s="119" t="s">
        <v>85</v>
      </c>
      <c r="H16" s="120" t="s">
        <v>86</v>
      </c>
      <c r="I16" s="120"/>
      <c r="J16" s="121" t="s">
        <v>9</v>
      </c>
      <c r="K16" s="121"/>
      <c r="L16" s="121"/>
      <c r="M16" s="114"/>
      <c r="N16" s="115"/>
    </row>
    <row r="17" customFormat="false" ht="14.25" hidden="false" customHeight="false" outlineLevel="0" collapsed="false">
      <c r="B17" s="116"/>
      <c r="C17" s="117"/>
      <c r="D17" s="117"/>
      <c r="E17" s="118"/>
      <c r="F17" s="118"/>
      <c r="G17" s="118" t="s">
        <v>87</v>
      </c>
      <c r="H17" s="118" t="s">
        <v>87</v>
      </c>
      <c r="I17" s="120" t="s">
        <v>84</v>
      </c>
      <c r="J17" s="122" t="s">
        <v>87</v>
      </c>
      <c r="K17" s="122" t="s">
        <v>87</v>
      </c>
      <c r="L17" s="121" t="s">
        <v>84</v>
      </c>
      <c r="M17" s="114"/>
      <c r="N17" s="115"/>
    </row>
    <row r="18" customFormat="false" ht="16.5" hidden="false" customHeight="true" outlineLevel="0" collapsed="false">
      <c r="B18" s="116"/>
      <c r="C18" s="123" t="s">
        <v>88</v>
      </c>
      <c r="D18" s="124" t="s">
        <v>89</v>
      </c>
      <c r="E18" s="125" t="s">
        <v>90</v>
      </c>
      <c r="F18" s="126" t="n">
        <v>6</v>
      </c>
      <c r="G18" s="127" t="n">
        <f aca="false">'SEMESTRE N°5'!H10</f>
        <v>5.8</v>
      </c>
      <c r="H18" s="128" t="n">
        <f aca="false">IF(AND(G18&gt;=8, G19&gt;=8), ROUND(((F18*G18) + (F19*G19)) / (F18 + F19), 2), 0)</f>
        <v>0</v>
      </c>
      <c r="I18" s="128" t="n">
        <f aca="false">IF(H18&gt;9.99,(F18+F19),0)</f>
        <v>0</v>
      </c>
      <c r="J18" s="129"/>
      <c r="K18" s="129"/>
      <c r="L18" s="129"/>
      <c r="M18" s="130" t="str">
        <f aca="false">IF(H18&gt;9.99,"Validé","Non validé")</f>
        <v>Non validé</v>
      </c>
      <c r="N18" s="115"/>
    </row>
    <row r="19" customFormat="false" ht="16.5" hidden="false" customHeight="true" outlineLevel="0" collapsed="false">
      <c r="B19" s="116"/>
      <c r="C19" s="123"/>
      <c r="D19" s="124"/>
      <c r="E19" s="131" t="s">
        <v>91</v>
      </c>
      <c r="F19" s="126" t="n">
        <v>3</v>
      </c>
      <c r="G19" s="127" t="n">
        <f aca="false">'SEMESTRE N°5'!L10</f>
        <v>12.2</v>
      </c>
      <c r="H19" s="128"/>
      <c r="I19" s="128"/>
      <c r="J19" s="132"/>
      <c r="K19" s="129"/>
      <c r="L19" s="129"/>
      <c r="M19" s="130"/>
      <c r="N19" s="115"/>
    </row>
    <row r="20" customFormat="false" ht="16.5" hidden="false" customHeight="true" outlineLevel="0" collapsed="false">
      <c r="B20" s="116"/>
      <c r="C20" s="133" t="s">
        <v>92</v>
      </c>
      <c r="D20" s="124" t="s">
        <v>93</v>
      </c>
      <c r="E20" s="134" t="s">
        <v>12</v>
      </c>
      <c r="F20" s="126" t="n">
        <v>2</v>
      </c>
      <c r="G20" s="127" t="n">
        <f aca="false">'SEMESTRE N°5'!P10</f>
        <v>12.1</v>
      </c>
      <c r="H20" s="128" t="n">
        <f aca="false">IF(AND(G20&gt;=8, G21&gt;=8), ROUND(((F20*G20) + (F21*G21)) / (F20 + F21), 2), 0)</f>
        <v>10.72</v>
      </c>
      <c r="I20" s="128" t="n">
        <f aca="false">IF(H20&gt;9.99,(F20+F21),0)</f>
        <v>5</v>
      </c>
      <c r="J20" s="132"/>
      <c r="K20" s="132"/>
      <c r="L20" s="132"/>
      <c r="M20" s="128" t="str">
        <f aca="false">IF(H20&gt;9.99,"Validé","Non validé")</f>
        <v>Validé</v>
      </c>
      <c r="N20" s="115"/>
    </row>
    <row r="21" customFormat="false" ht="16.5" hidden="false" customHeight="true" outlineLevel="0" collapsed="false">
      <c r="B21" s="116"/>
      <c r="C21" s="133"/>
      <c r="D21" s="124"/>
      <c r="E21" s="134" t="s">
        <v>13</v>
      </c>
      <c r="F21" s="126" t="n">
        <v>3</v>
      </c>
      <c r="G21" s="127" t="n">
        <f aca="false">'SEMESTRE N°5'!T10</f>
        <v>9.8</v>
      </c>
      <c r="H21" s="128"/>
      <c r="I21" s="128"/>
      <c r="J21" s="132"/>
      <c r="K21" s="132"/>
      <c r="L21" s="132"/>
      <c r="M21" s="128"/>
      <c r="N21" s="115"/>
    </row>
    <row r="22" customFormat="false" ht="16.5" hidden="false" customHeight="true" outlineLevel="0" collapsed="false">
      <c r="B22" s="116"/>
      <c r="C22" s="133" t="s">
        <v>94</v>
      </c>
      <c r="D22" s="124" t="s">
        <v>95</v>
      </c>
      <c r="E22" s="135" t="s">
        <v>14</v>
      </c>
      <c r="F22" s="126" t="n">
        <v>2</v>
      </c>
      <c r="G22" s="127" t="n">
        <f aca="false">'SEMESTRE N°5'!X10</f>
        <v>9.7</v>
      </c>
      <c r="H22" s="128" t="n">
        <f aca="false">IF(AND(G22&gt;=8, G24&gt;=8, G23&gt;=8), ROUND(((F22*G22) + (F24*G24)+ (F23*G23)) / (F22 + F24 + F23), 2), 0)</f>
        <v>0</v>
      </c>
      <c r="I22" s="128" t="n">
        <f aca="false">IF(H22&gt;9.99,(F22+F24+F23),0)</f>
        <v>0</v>
      </c>
      <c r="J22" s="132"/>
      <c r="K22" s="132"/>
      <c r="L22" s="132"/>
      <c r="M22" s="128" t="str">
        <f aca="false">IF(H22&gt;9.99,"Validé","Non validé")</f>
        <v>Non validé</v>
      </c>
      <c r="N22" s="115"/>
    </row>
    <row r="23" customFormat="false" ht="16.5" hidden="false" customHeight="true" outlineLevel="0" collapsed="false">
      <c r="B23" s="116"/>
      <c r="C23" s="133"/>
      <c r="D23" s="124"/>
      <c r="E23" s="136" t="s">
        <v>15</v>
      </c>
      <c r="F23" s="137" t="n">
        <v>3</v>
      </c>
      <c r="G23" s="138" t="n">
        <f aca="false">'SEMESTRE N°5'!AB10</f>
        <v>7.514</v>
      </c>
      <c r="H23" s="128"/>
      <c r="I23" s="128"/>
      <c r="J23" s="132"/>
      <c r="K23" s="132"/>
      <c r="L23" s="132"/>
      <c r="M23" s="128"/>
      <c r="N23" s="115"/>
    </row>
    <row r="24" customFormat="false" ht="14.25" hidden="false" customHeight="false" outlineLevel="0" collapsed="false">
      <c r="B24" s="116"/>
      <c r="C24" s="133"/>
      <c r="D24" s="124"/>
      <c r="E24" s="136" t="s">
        <v>16</v>
      </c>
      <c r="F24" s="126" t="n">
        <v>3</v>
      </c>
      <c r="G24" s="127" t="n">
        <f aca="false">'SEMESTRE N°5'!AF10</f>
        <v>11.048</v>
      </c>
      <c r="H24" s="128"/>
      <c r="I24" s="128"/>
      <c r="J24" s="132"/>
      <c r="K24" s="132"/>
      <c r="L24" s="132"/>
      <c r="M24" s="128"/>
      <c r="N24" s="115"/>
    </row>
    <row r="25" customFormat="false" ht="16.5" hidden="false" customHeight="true" outlineLevel="0" collapsed="false">
      <c r="B25" s="116"/>
      <c r="C25" s="139" t="s">
        <v>96</v>
      </c>
      <c r="D25" s="140" t="s">
        <v>97</v>
      </c>
      <c r="E25" s="141" t="s">
        <v>98</v>
      </c>
      <c r="F25" s="142" t="n">
        <v>3</v>
      </c>
      <c r="G25" s="138" t="n">
        <f aca="false">'SEMESTRE N°5'!AJ10</f>
        <v>12.8</v>
      </c>
      <c r="H25" s="128" t="n">
        <f aca="false">IF(AND(G25&gt;=8, G26&gt;=8, G27&gt;=8), ROUND(((F25*G25) + (F26*G26)+ (F27*G27)) / (F25 + F26+F27), 2), 0)</f>
        <v>0</v>
      </c>
      <c r="I25" s="128" t="n">
        <f aca="false">IF(H25&gt;9.99,(F25+F26+F27),0)</f>
        <v>0</v>
      </c>
      <c r="J25" s="132"/>
      <c r="K25" s="132"/>
      <c r="L25" s="143"/>
      <c r="M25" s="128" t="str">
        <f aca="false">IF(H25&gt;9.99,"Validé","Non validé")</f>
        <v>Non validé</v>
      </c>
      <c r="N25" s="115"/>
    </row>
    <row r="26" customFormat="false" ht="16.5" hidden="false" customHeight="true" outlineLevel="0" collapsed="false">
      <c r="B26" s="116"/>
      <c r="C26" s="139"/>
      <c r="D26" s="140"/>
      <c r="E26" s="134" t="s">
        <v>99</v>
      </c>
      <c r="F26" s="126" t="n">
        <v>3</v>
      </c>
      <c r="G26" s="127" t="n">
        <f aca="false">'SEMESTRE N°5'!AN10</f>
        <v>12.1</v>
      </c>
      <c r="H26" s="128"/>
      <c r="I26" s="128"/>
      <c r="J26" s="132"/>
      <c r="K26" s="132"/>
      <c r="L26" s="132"/>
      <c r="M26" s="128"/>
      <c r="N26" s="115"/>
    </row>
    <row r="27" customFormat="false" ht="16.5" hidden="false" customHeight="true" outlineLevel="0" collapsed="false">
      <c r="B27" s="116"/>
      <c r="C27" s="139"/>
      <c r="D27" s="140"/>
      <c r="E27" s="134" t="s">
        <v>100</v>
      </c>
      <c r="F27" s="126" t="n">
        <v>2</v>
      </c>
      <c r="G27" s="127" t="n">
        <f aca="false">'SEMESTRE N°5'!AR10</f>
        <v>6.3</v>
      </c>
      <c r="H27" s="128"/>
      <c r="I27" s="128"/>
      <c r="J27" s="132"/>
      <c r="K27" s="132"/>
      <c r="L27" s="143"/>
      <c r="M27" s="128"/>
      <c r="N27" s="115"/>
    </row>
    <row r="28" customFormat="false" ht="19.5" hidden="false" customHeight="true" outlineLevel="0" collapsed="false">
      <c r="B28" s="116"/>
      <c r="C28" s="144" t="s">
        <v>101</v>
      </c>
      <c r="D28" s="144"/>
      <c r="E28" s="144"/>
      <c r="F28" s="145" t="n">
        <f aca="false">SUM(F18:F27)</f>
        <v>30</v>
      </c>
      <c r="G28" s="146"/>
      <c r="H28" s="128" t="n">
        <f aca="false">ROUND((H18+H20++H25+H22)/4,2)</f>
        <v>2.68</v>
      </c>
      <c r="I28" s="147" t="n">
        <f aca="false">SUM(I18:I27)</f>
        <v>5</v>
      </c>
      <c r="J28" s="148"/>
      <c r="K28" s="148"/>
      <c r="L28" s="148"/>
      <c r="M28" s="148"/>
    </row>
    <row r="29" customFormat="false" ht="12" hidden="false" customHeight="true" outlineLevel="0" collapsed="false">
      <c r="C29" s="149"/>
      <c r="G29" s="149"/>
    </row>
    <row r="30" customFormat="false" ht="16.5" hidden="false" customHeight="true" outlineLevel="0" collapsed="false">
      <c r="A30" s="150"/>
      <c r="B30" s="151" t="s">
        <v>102</v>
      </c>
      <c r="C30" s="151"/>
      <c r="D30" s="152" t="n">
        <f aca="false">SUM(I18:I27)</f>
        <v>5</v>
      </c>
      <c r="E30" s="153"/>
      <c r="F30" s="154"/>
      <c r="G30" s="155"/>
      <c r="H30" s="156"/>
      <c r="I30" s="156"/>
      <c r="J30" s="157" t="s">
        <v>103</v>
      </c>
      <c r="K30" s="157"/>
      <c r="L30" s="157"/>
      <c r="M30" s="157"/>
    </row>
    <row r="31" customFormat="false" ht="16.5" hidden="false" customHeight="true" outlineLevel="0" collapsed="false">
      <c r="A31" s="150"/>
      <c r="B31" s="151" t="s">
        <v>104</v>
      </c>
      <c r="C31" s="151"/>
      <c r="D31" s="158" t="str">
        <f aca="false">IF(D30=F28,"Semestre validé","Semestre non validé")</f>
        <v>Semestre non validé</v>
      </c>
      <c r="E31" s="154"/>
      <c r="F31" s="154"/>
      <c r="G31" s="159"/>
      <c r="L31" s="160"/>
      <c r="M31" s="154"/>
    </row>
    <row r="32" customFormat="false" ht="16.5" hidden="false" customHeight="true" outlineLevel="0" collapsed="false">
      <c r="A32" s="150"/>
      <c r="B32" s="151" t="s">
        <v>105</v>
      </c>
      <c r="C32" s="151"/>
      <c r="D32" s="161" t="n">
        <v>0</v>
      </c>
      <c r="E32" s="154"/>
      <c r="F32" s="154"/>
      <c r="G32" s="159"/>
      <c r="H32" s="154"/>
      <c r="I32" s="154"/>
      <c r="J32" s="154"/>
      <c r="K32" s="154"/>
    </row>
    <row r="33" customFormat="false" ht="16.5" hidden="false" customHeight="true" outlineLevel="0" collapsed="false">
      <c r="B33" s="162"/>
      <c r="C33" s="162"/>
      <c r="D33" s="161"/>
      <c r="E33" s="154"/>
      <c r="F33" s="154"/>
      <c r="G33" s="159"/>
      <c r="H33" s="154"/>
      <c r="I33" s="154"/>
      <c r="J33" s="154"/>
      <c r="K33" s="154"/>
    </row>
    <row r="34" customFormat="false" ht="16.5" hidden="false" customHeight="true" outlineLevel="0" collapsed="false">
      <c r="C34" s="149"/>
      <c r="G34" s="163" t="s">
        <v>106</v>
      </c>
      <c r="H34" s="163"/>
      <c r="I34" s="163"/>
      <c r="J34" s="163"/>
      <c r="K34" s="163"/>
      <c r="L34" s="163"/>
      <c r="M34" s="163"/>
      <c r="N34" s="164"/>
    </row>
    <row r="35" customFormat="false" ht="16.5" hidden="false" customHeight="true" outlineLevel="0" collapsed="false">
      <c r="B35" s="165" t="s">
        <v>107</v>
      </c>
      <c r="C35" s="165"/>
      <c r="D35" s="165"/>
      <c r="E35" s="165"/>
      <c r="F35" s="165"/>
      <c r="G35" s="165"/>
      <c r="H35" s="165"/>
      <c r="I35" s="165"/>
      <c r="J35" s="165"/>
      <c r="K35" s="165"/>
      <c r="L35" s="165"/>
      <c r="M35" s="165"/>
    </row>
    <row r="36" customFormat="false" ht="11.25" hidden="false" customHeight="true" outlineLevel="0" collapsed="false">
      <c r="B36" s="165"/>
      <c r="C36" s="165"/>
      <c r="D36" s="165"/>
      <c r="E36" s="165"/>
      <c r="F36" s="165"/>
      <c r="G36" s="165"/>
      <c r="H36" s="165"/>
      <c r="I36" s="165"/>
      <c r="J36" s="165"/>
      <c r="K36" s="165"/>
      <c r="L36" s="165"/>
      <c r="M36" s="165"/>
    </row>
    <row r="40" customFormat="false" ht="12.75" hidden="false" customHeight="true" outlineLevel="0" collapsed="false"/>
    <row r="41" customFormat="false" ht="0.75" hidden="false" customHeight="true" outlineLevel="0" collapsed="false">
      <c r="A41" s="2" t="s">
        <v>108</v>
      </c>
    </row>
    <row r="42" customFormat="false" ht="0.75" hidden="false" customHeight="true" outlineLevel="0" collapsed="false">
      <c r="A42" s="97" t="s">
        <v>109</v>
      </c>
    </row>
  </sheetData>
  <mergeCells count="59">
    <mergeCell ref="E4:M7"/>
    <mergeCell ref="B8:M8"/>
    <mergeCell ref="C10:E10"/>
    <mergeCell ref="G10:M10"/>
    <mergeCell ref="B11:C11"/>
    <mergeCell ref="D11:E11"/>
    <mergeCell ref="G11:M11"/>
    <mergeCell ref="C12:E12"/>
    <mergeCell ref="G12:M12"/>
    <mergeCell ref="C13:E13"/>
    <mergeCell ref="G13:M13"/>
    <mergeCell ref="B14:D15"/>
    <mergeCell ref="E14:F15"/>
    <mergeCell ref="G14:M14"/>
    <mergeCell ref="G15:I15"/>
    <mergeCell ref="J15:L15"/>
    <mergeCell ref="M15:M17"/>
    <mergeCell ref="B16:B28"/>
    <mergeCell ref="C16:D17"/>
    <mergeCell ref="E16:E17"/>
    <mergeCell ref="F16:F17"/>
    <mergeCell ref="H16:I16"/>
    <mergeCell ref="J16:L16"/>
    <mergeCell ref="C18:C19"/>
    <mergeCell ref="D18:D19"/>
    <mergeCell ref="H18:H19"/>
    <mergeCell ref="I18:I19"/>
    <mergeCell ref="K18:K19"/>
    <mergeCell ref="L18:L19"/>
    <mergeCell ref="M18:M19"/>
    <mergeCell ref="C20:C21"/>
    <mergeCell ref="D20:D21"/>
    <mergeCell ref="H20:H21"/>
    <mergeCell ref="I20:I21"/>
    <mergeCell ref="K20:K21"/>
    <mergeCell ref="L20:L21"/>
    <mergeCell ref="M20:M21"/>
    <mergeCell ref="C22:C24"/>
    <mergeCell ref="D22:D24"/>
    <mergeCell ref="H22:H24"/>
    <mergeCell ref="I22:I24"/>
    <mergeCell ref="K22:K24"/>
    <mergeCell ref="L22:L24"/>
    <mergeCell ref="M22:M24"/>
    <mergeCell ref="C25:C27"/>
    <mergeCell ref="D25:D27"/>
    <mergeCell ref="H25:H27"/>
    <mergeCell ref="I25:I27"/>
    <mergeCell ref="K25:K27"/>
    <mergeCell ref="L25:L27"/>
    <mergeCell ref="M25:M27"/>
    <mergeCell ref="C28:E28"/>
    <mergeCell ref="J28:M28"/>
    <mergeCell ref="B30:C30"/>
    <mergeCell ref="J30:M30"/>
    <mergeCell ref="B31:C31"/>
    <mergeCell ref="B32:C32"/>
    <mergeCell ref="G34:M34"/>
    <mergeCell ref="B35:M36"/>
  </mergeCells>
  <printOptions headings="false" gridLines="false" gridLinesSet="true" horizontalCentered="false" verticalCentered="false"/>
  <pageMargins left="0" right="0" top="0" bottom="0" header="0.511811023622047" footer="0.511811023622047"/>
  <pageSetup paperSize="9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7030A0"/>
    <pageSetUpPr fitToPage="false"/>
  </sheetPr>
  <dimension ref="A4:N41"/>
  <sheetViews>
    <sheetView showFormulas="false" showGridLines="false" showRowColHeaders="true" showZeros="true" rightToLeft="false" tabSelected="false" showOutlineSymbols="true" defaultGridColor="true" view="normal" topLeftCell="A8" colorId="64" zoomScale="100" zoomScaleNormal="100" zoomScalePageLayoutView="100" workbookViewId="0">
      <selection pane="topLeft" activeCell="G26" activeCellId="0" sqref="G26"/>
    </sheetView>
  </sheetViews>
  <sheetFormatPr defaultColWidth="10.890625" defaultRowHeight="14.25" customHeight="false" zeroHeight="false" outlineLevelRow="0" outlineLevelCol="0"/>
  <cols>
    <col collapsed="false" customWidth="true" hidden="false" outlineLevel="0" max="1" min="1" style="97" width="2.89"/>
    <col collapsed="false" customWidth="false" hidden="false" outlineLevel="0" max="2" min="2" style="97" width="10.89"/>
    <col collapsed="false" customWidth="true" hidden="false" outlineLevel="0" max="3" min="3" style="97" width="10.67"/>
    <col collapsed="false" customWidth="true" hidden="false" outlineLevel="0" max="4" min="4" style="97" width="21"/>
    <col collapsed="false" customWidth="true" hidden="false" outlineLevel="0" max="5" min="5" style="97" width="28.45"/>
    <col collapsed="false" customWidth="true" hidden="false" outlineLevel="0" max="6" min="6" style="97" width="11.67"/>
    <col collapsed="false" customWidth="true" hidden="false" outlineLevel="0" max="7" min="7" style="97" width="7.67"/>
    <col collapsed="false" customWidth="true" hidden="false" outlineLevel="0" max="8" min="8" style="97" width="7"/>
    <col collapsed="false" customWidth="true" hidden="false" outlineLevel="0" max="9" min="9" style="97" width="7.55"/>
    <col collapsed="false" customWidth="true" hidden="false" outlineLevel="0" max="10" min="10" style="97" width="7.67"/>
    <col collapsed="false" customWidth="true" hidden="false" outlineLevel="0" max="11" min="11" style="97" width="6.34"/>
    <col collapsed="false" customWidth="true" hidden="false" outlineLevel="0" max="12" min="12" style="97" width="7.33"/>
    <col collapsed="false" customWidth="true" hidden="false" outlineLevel="0" max="13" min="13" style="97" width="11.55"/>
    <col collapsed="false" customWidth="true" hidden="false" outlineLevel="0" max="14" min="14" style="97" width="4.11"/>
    <col collapsed="false" customWidth="false" hidden="false" outlineLevel="0" max="16384" min="15" style="97" width="10.89"/>
  </cols>
  <sheetData>
    <row r="4" customFormat="false" ht="14.25" hidden="false" customHeight="true" outlineLevel="0" collapsed="false">
      <c r="E4" s="98" t="s">
        <v>110</v>
      </c>
      <c r="F4" s="98"/>
      <c r="G4" s="98"/>
      <c r="H4" s="98"/>
      <c r="I4" s="98"/>
      <c r="J4" s="98"/>
      <c r="K4" s="98"/>
      <c r="L4" s="98"/>
      <c r="M4" s="98"/>
    </row>
    <row r="5" customFormat="false" ht="14.25" hidden="false" customHeight="false" outlineLevel="0" collapsed="false">
      <c r="E5" s="98"/>
      <c r="F5" s="98"/>
      <c r="G5" s="98"/>
      <c r="H5" s="98"/>
      <c r="I5" s="98"/>
      <c r="J5" s="98"/>
      <c r="K5" s="98"/>
      <c r="L5" s="98"/>
      <c r="M5" s="98"/>
    </row>
    <row r="6" customFormat="false" ht="14.25" hidden="false" customHeight="false" outlineLevel="0" collapsed="false">
      <c r="E6" s="98"/>
      <c r="F6" s="98"/>
      <c r="G6" s="98"/>
      <c r="H6" s="98"/>
      <c r="I6" s="98"/>
      <c r="J6" s="98"/>
      <c r="K6" s="98"/>
      <c r="L6" s="98"/>
      <c r="M6" s="98"/>
    </row>
    <row r="7" customFormat="false" ht="14.25" hidden="false" customHeight="false" outlineLevel="0" collapsed="false">
      <c r="E7" s="98"/>
      <c r="F7" s="98"/>
      <c r="G7" s="98"/>
      <c r="H7" s="98"/>
      <c r="I7" s="98"/>
      <c r="J7" s="98"/>
      <c r="K7" s="98"/>
      <c r="L7" s="98"/>
      <c r="M7" s="98"/>
    </row>
    <row r="8" customFormat="false" ht="18" hidden="false" customHeight="true" outlineLevel="0" collapsed="false">
      <c r="A8" s="99"/>
      <c r="B8" s="100" t="s">
        <v>64</v>
      </c>
      <c r="C8" s="100"/>
      <c r="D8" s="100"/>
      <c r="E8" s="100"/>
      <c r="F8" s="100"/>
      <c r="G8" s="100"/>
      <c r="H8" s="100"/>
      <c r="I8" s="100"/>
      <c r="J8" s="100"/>
      <c r="K8" s="100"/>
      <c r="L8" s="100"/>
      <c r="M8" s="100"/>
      <c r="N8" s="99"/>
    </row>
    <row r="9" customFormat="false" ht="16.5" hidden="false" customHeight="true" outlineLevel="0" collapsed="false">
      <c r="B9" s="103" t="s">
        <v>65</v>
      </c>
      <c r="C9" s="108" t="str">
        <f aca="false">'SEMESTRE N°5'!A11</f>
        <v>ISSANGA-ANGOUE Quessia Germie</v>
      </c>
      <c r="D9" s="108"/>
      <c r="E9" s="108"/>
      <c r="F9" s="103" t="s">
        <v>66</v>
      </c>
      <c r="G9" s="105" t="s">
        <v>67</v>
      </c>
      <c r="H9" s="105"/>
      <c r="I9" s="105"/>
      <c r="J9" s="105"/>
      <c r="K9" s="105"/>
      <c r="L9" s="105"/>
    </row>
    <row r="10" customFormat="false" ht="16.5" hidden="false" customHeight="true" outlineLevel="0" collapsed="false">
      <c r="B10" s="106" t="s">
        <v>68</v>
      </c>
      <c r="C10" s="106"/>
      <c r="D10" s="166" t="str">
        <f aca="false">'SEMESTRE N°5'!B11</f>
        <v>29/03/2003</v>
      </c>
      <c r="E10" s="166"/>
      <c r="F10" s="103" t="s">
        <v>69</v>
      </c>
      <c r="G10" s="167" t="s">
        <v>111</v>
      </c>
      <c r="H10" s="167"/>
      <c r="I10" s="167"/>
      <c r="J10" s="167"/>
      <c r="K10" s="167"/>
      <c r="L10" s="167"/>
    </row>
    <row r="11" customFormat="false" ht="16.5" hidden="false" customHeight="true" outlineLevel="0" collapsed="false">
      <c r="B11" s="103" t="s">
        <v>71</v>
      </c>
      <c r="C11" s="108" t="n">
        <f aca="false">'SEMESTRE N°5'!D11</f>
        <v>92022</v>
      </c>
      <c r="D11" s="108"/>
      <c r="E11" s="108"/>
      <c r="F11" s="103" t="s">
        <v>72</v>
      </c>
      <c r="G11" s="167" t="str">
        <f aca="false">A41</f>
        <v>Informatique &amp;Monétique Bancaire</v>
      </c>
      <c r="H11" s="167"/>
      <c r="I11" s="167"/>
      <c r="J11" s="167"/>
      <c r="K11" s="167"/>
      <c r="L11" s="167"/>
    </row>
    <row r="12" customFormat="false" ht="16.5" hidden="false" customHeight="true" outlineLevel="0" collapsed="false">
      <c r="B12" s="103" t="s">
        <v>73</v>
      </c>
      <c r="C12" s="166" t="str">
        <f aca="false">'SEMESTRE N°5'!C11</f>
        <v>Gabonaise</v>
      </c>
      <c r="D12" s="166"/>
      <c r="E12" s="166"/>
      <c r="F12" s="103" t="s">
        <v>74</v>
      </c>
      <c r="G12" s="168" t="s">
        <v>75</v>
      </c>
      <c r="H12" s="168"/>
      <c r="I12" s="168"/>
      <c r="J12" s="168"/>
      <c r="K12" s="168"/>
      <c r="L12" s="168"/>
    </row>
    <row r="13" customFormat="false" ht="14.25" hidden="false" customHeight="false" outlineLevel="0" collapsed="false">
      <c r="B13" s="110" t="s">
        <v>76</v>
      </c>
      <c r="C13" s="110"/>
      <c r="D13" s="110"/>
      <c r="E13" s="111" t="s">
        <v>77</v>
      </c>
      <c r="F13" s="111"/>
      <c r="G13" s="169" t="s">
        <v>78</v>
      </c>
      <c r="H13" s="169"/>
      <c r="I13" s="169"/>
      <c r="J13" s="169"/>
      <c r="K13" s="169"/>
      <c r="L13" s="169"/>
      <c r="M13" s="169"/>
    </row>
    <row r="14" customFormat="false" ht="14.25" hidden="false" customHeight="false" outlineLevel="0" collapsed="false">
      <c r="B14" s="110"/>
      <c r="C14" s="110"/>
      <c r="D14" s="110"/>
      <c r="E14" s="111"/>
      <c r="F14" s="111"/>
      <c r="G14" s="112" t="s">
        <v>79</v>
      </c>
      <c r="H14" s="112"/>
      <c r="I14" s="112"/>
      <c r="J14" s="170" t="s">
        <v>80</v>
      </c>
      <c r="K14" s="170"/>
      <c r="L14" s="170"/>
      <c r="M14" s="171" t="s">
        <v>81</v>
      </c>
      <c r="N14" s="115"/>
    </row>
    <row r="15" customFormat="false" ht="14.25" hidden="false" customHeight="false" outlineLevel="0" collapsed="false">
      <c r="B15" s="116" t="s">
        <v>82</v>
      </c>
      <c r="C15" s="117" t="s">
        <v>83</v>
      </c>
      <c r="D15" s="117"/>
      <c r="E15" s="118" t="s">
        <v>83</v>
      </c>
      <c r="F15" s="118" t="s">
        <v>84</v>
      </c>
      <c r="G15" s="119" t="s">
        <v>85</v>
      </c>
      <c r="H15" s="118" t="s">
        <v>86</v>
      </c>
      <c r="I15" s="118"/>
      <c r="J15" s="122" t="s">
        <v>9</v>
      </c>
      <c r="K15" s="122"/>
      <c r="L15" s="122"/>
      <c r="M15" s="171"/>
      <c r="N15" s="115"/>
    </row>
    <row r="16" customFormat="false" ht="14.25" hidden="false" customHeight="false" outlineLevel="0" collapsed="false">
      <c r="B16" s="116"/>
      <c r="C16" s="117"/>
      <c r="D16" s="117"/>
      <c r="E16" s="118"/>
      <c r="F16" s="118"/>
      <c r="G16" s="118" t="s">
        <v>87</v>
      </c>
      <c r="H16" s="118" t="s">
        <v>87</v>
      </c>
      <c r="I16" s="118" t="s">
        <v>84</v>
      </c>
      <c r="J16" s="122" t="s">
        <v>87</v>
      </c>
      <c r="K16" s="122" t="s">
        <v>87</v>
      </c>
      <c r="L16" s="122" t="s">
        <v>84</v>
      </c>
      <c r="M16" s="171"/>
      <c r="N16" s="115"/>
    </row>
    <row r="17" customFormat="false" ht="16.5" hidden="false" customHeight="true" outlineLevel="0" collapsed="false">
      <c r="B17" s="116"/>
      <c r="C17" s="123" t="s">
        <v>88</v>
      </c>
      <c r="D17" s="172" t="s">
        <v>89</v>
      </c>
      <c r="E17" s="173" t="s">
        <v>90</v>
      </c>
      <c r="F17" s="126" t="n">
        <v>6</v>
      </c>
      <c r="G17" s="127" t="n">
        <f aca="false">'SEMESTRE N°5'!H11</f>
        <v>5.8</v>
      </c>
      <c r="H17" s="128" t="n">
        <f aca="false">IF(AND(G17&gt;=8, G18&gt;=8), ROUND(((F17*G17) + (F18*G18)) / (F17 + F18), 2), 0)</f>
        <v>0</v>
      </c>
      <c r="I17" s="128" t="n">
        <f aca="false">IF(H17&gt;9.99,(F17+F18),0)</f>
        <v>0</v>
      </c>
      <c r="J17" s="129"/>
      <c r="K17" s="129"/>
      <c r="L17" s="129"/>
      <c r="M17" s="130" t="str">
        <f aca="false">IF(H17&gt;9.99,"Validé","Non validé")</f>
        <v>Non validé</v>
      </c>
      <c r="N17" s="115"/>
    </row>
    <row r="18" customFormat="false" ht="16.5" hidden="false" customHeight="true" outlineLevel="0" collapsed="false">
      <c r="B18" s="116"/>
      <c r="C18" s="123"/>
      <c r="D18" s="172"/>
      <c r="E18" s="174" t="s">
        <v>91</v>
      </c>
      <c r="F18" s="175" t="n">
        <v>3</v>
      </c>
      <c r="G18" s="176" t="n">
        <f aca="false">'SEMESTRE N°5'!L11</f>
        <v>10.4</v>
      </c>
      <c r="H18" s="128"/>
      <c r="I18" s="128"/>
      <c r="J18" s="132"/>
      <c r="K18" s="129"/>
      <c r="L18" s="129"/>
      <c r="M18" s="130"/>
      <c r="N18" s="115"/>
    </row>
    <row r="19" customFormat="false" ht="16.5" hidden="false" customHeight="true" outlineLevel="0" collapsed="false">
      <c r="B19" s="116"/>
      <c r="C19" s="133" t="s">
        <v>92</v>
      </c>
      <c r="D19" s="177" t="s">
        <v>93</v>
      </c>
      <c r="E19" s="141" t="s">
        <v>12</v>
      </c>
      <c r="F19" s="142" t="n">
        <v>2</v>
      </c>
      <c r="G19" s="138" t="n">
        <f aca="false">'SEMESTRE N°5'!P11</f>
        <v>12.3</v>
      </c>
      <c r="H19" s="128" t="n">
        <f aca="false">IF(AND(G19&gt;=8, G20&gt;=8), ROUND(((F19*G19) + (F20*G20)) / (F19 + F20), 2), 0)</f>
        <v>11.13</v>
      </c>
      <c r="I19" s="128" t="n">
        <f aca="false">IF(H19&gt;9.99,(F19+F20),0)</f>
        <v>5</v>
      </c>
      <c r="J19" s="132"/>
      <c r="K19" s="132"/>
      <c r="L19" s="132"/>
      <c r="M19" s="128" t="str">
        <f aca="false">IF(H19&gt;9.99,"Validé","Non validé")</f>
        <v>Validé</v>
      </c>
      <c r="N19" s="115"/>
    </row>
    <row r="20" customFormat="false" ht="16.5" hidden="false" customHeight="true" outlineLevel="0" collapsed="false">
      <c r="B20" s="116"/>
      <c r="C20" s="133"/>
      <c r="D20" s="177"/>
      <c r="E20" s="174" t="s">
        <v>13</v>
      </c>
      <c r="F20" s="175" t="n">
        <v>3</v>
      </c>
      <c r="G20" s="176" t="n">
        <f aca="false">'SEMESTRE N°5'!T11</f>
        <v>10.35</v>
      </c>
      <c r="H20" s="128"/>
      <c r="I20" s="128"/>
      <c r="J20" s="132"/>
      <c r="K20" s="132"/>
      <c r="L20" s="132"/>
      <c r="M20" s="128"/>
    </row>
    <row r="21" customFormat="false" ht="16.5" hidden="false" customHeight="true" outlineLevel="0" collapsed="false">
      <c r="B21" s="116"/>
      <c r="C21" s="133" t="s">
        <v>94</v>
      </c>
      <c r="D21" s="177" t="s">
        <v>95</v>
      </c>
      <c r="E21" s="178" t="s">
        <v>14</v>
      </c>
      <c r="F21" s="142" t="n">
        <v>2</v>
      </c>
      <c r="G21" s="138" t="n">
        <f aca="false">'SEMESTRE N°5'!X11</f>
        <v>11.8</v>
      </c>
      <c r="H21" s="128" t="n">
        <f aca="false">IF(AND(G21&gt;=8, G23&gt;=8, G22&gt;=8), ROUND(((F21*G21) + (F23*G23)+ (F22*G22)) / (F21 + F23 + F22), 2), 0)</f>
        <v>0</v>
      </c>
      <c r="I21" s="128" t="n">
        <f aca="false">IF(H21&gt;9.99,(F21+F23+F22),0)</f>
        <v>0</v>
      </c>
      <c r="J21" s="132"/>
      <c r="K21" s="132"/>
      <c r="L21" s="132"/>
      <c r="M21" s="128" t="str">
        <f aca="false">IF(H21&gt;9.99,"Validé","Non validé")</f>
        <v>Non validé</v>
      </c>
    </row>
    <row r="22" customFormat="false" ht="16.5" hidden="false" customHeight="true" outlineLevel="0" collapsed="false">
      <c r="B22" s="116"/>
      <c r="C22" s="133"/>
      <c r="D22" s="177"/>
      <c r="E22" s="136" t="s">
        <v>15</v>
      </c>
      <c r="F22" s="137" t="n">
        <v>3</v>
      </c>
      <c r="G22" s="138" t="n">
        <f aca="false">'SEMESTRE N°5'!AB11</f>
        <v>7.632</v>
      </c>
      <c r="H22" s="128"/>
      <c r="I22" s="128"/>
      <c r="J22" s="132"/>
      <c r="K22" s="132"/>
      <c r="L22" s="132"/>
      <c r="M22" s="128"/>
    </row>
    <row r="23" customFormat="false" ht="16.5" hidden="false" customHeight="true" outlineLevel="0" collapsed="false">
      <c r="B23" s="116"/>
      <c r="C23" s="133"/>
      <c r="D23" s="177"/>
      <c r="E23" s="179" t="s">
        <v>16</v>
      </c>
      <c r="F23" s="175" t="n">
        <v>3</v>
      </c>
      <c r="G23" s="176" t="n">
        <f aca="false">'SEMESTRE N°5'!AF11</f>
        <v>10.718</v>
      </c>
      <c r="H23" s="128"/>
      <c r="I23" s="128"/>
      <c r="J23" s="132"/>
      <c r="K23" s="132"/>
      <c r="L23" s="132"/>
      <c r="M23" s="128"/>
    </row>
    <row r="24" customFormat="false" ht="16.5" hidden="false" customHeight="true" outlineLevel="0" collapsed="false">
      <c r="B24" s="116"/>
      <c r="C24" s="139" t="s">
        <v>96</v>
      </c>
      <c r="D24" s="140" t="s">
        <v>97</v>
      </c>
      <c r="E24" s="141" t="s">
        <v>98</v>
      </c>
      <c r="F24" s="142" t="n">
        <v>3</v>
      </c>
      <c r="G24" s="138" t="n">
        <f aca="false">'SEMESTRE N°5'!AJ11</f>
        <v>11</v>
      </c>
      <c r="H24" s="128" t="n">
        <f aca="false">IF(AND(G24&gt;=8, G26&gt;=8, G25&gt;=8), ROUND(((F24*G24) + (F26*G26)+ (F25*G25)) / (F24 + F26 + F25), 2), 0)</f>
        <v>0</v>
      </c>
      <c r="I24" s="128" t="n">
        <f aca="false">IF(H24&gt;9.99,(F24+F25+F26),0)</f>
        <v>0</v>
      </c>
      <c r="J24" s="132"/>
      <c r="K24" s="132"/>
      <c r="L24" s="143"/>
      <c r="M24" s="128" t="str">
        <f aca="false">IF(H24&gt;9.99,"Validé","Non validé")</f>
        <v>Non validé</v>
      </c>
    </row>
    <row r="25" customFormat="false" ht="16.5" hidden="false" customHeight="true" outlineLevel="0" collapsed="false">
      <c r="B25" s="116"/>
      <c r="C25" s="139"/>
      <c r="D25" s="140"/>
      <c r="E25" s="134" t="s">
        <v>99</v>
      </c>
      <c r="F25" s="126" t="n">
        <v>3</v>
      </c>
      <c r="G25" s="127" t="n">
        <f aca="false">'SEMESTRE N°5'!AN11</f>
        <v>15.9</v>
      </c>
      <c r="H25" s="128"/>
      <c r="I25" s="128"/>
      <c r="J25" s="132"/>
      <c r="K25" s="132"/>
      <c r="L25" s="132"/>
      <c r="M25" s="128"/>
    </row>
    <row r="26" customFormat="false" ht="16.5" hidden="false" customHeight="true" outlineLevel="0" collapsed="false">
      <c r="B26" s="116"/>
      <c r="C26" s="139"/>
      <c r="D26" s="140"/>
      <c r="E26" s="134" t="s">
        <v>100</v>
      </c>
      <c r="F26" s="126" t="n">
        <v>2</v>
      </c>
      <c r="G26" s="127" t="n">
        <f aca="false">'SEMESTRE N°5'!AR11</f>
        <v>6.4</v>
      </c>
      <c r="H26" s="128"/>
      <c r="I26" s="128"/>
      <c r="J26" s="132"/>
      <c r="K26" s="132"/>
      <c r="L26" s="143"/>
      <c r="M26" s="128"/>
    </row>
    <row r="27" customFormat="false" ht="19.5" hidden="false" customHeight="true" outlineLevel="0" collapsed="false">
      <c r="B27" s="116"/>
      <c r="C27" s="144" t="s">
        <v>101</v>
      </c>
      <c r="D27" s="144"/>
      <c r="E27" s="144"/>
      <c r="F27" s="145" t="n">
        <f aca="false">SUM(F17:F26)</f>
        <v>30</v>
      </c>
      <c r="G27" s="180"/>
      <c r="H27" s="128" t="n">
        <f aca="false">ROUND((H17+H19+H21+H24)/4,2)</f>
        <v>2.78</v>
      </c>
      <c r="I27" s="181" t="n">
        <f aca="false">SUM(I17:I26)</f>
        <v>5</v>
      </c>
      <c r="J27" s="182"/>
      <c r="K27" s="182"/>
      <c r="L27" s="182"/>
      <c r="M27" s="182"/>
    </row>
    <row r="28" customFormat="false" ht="12" hidden="false" customHeight="true" outlineLevel="0" collapsed="false">
      <c r="C28" s="149"/>
      <c r="G28" s="149"/>
    </row>
    <row r="29" customFormat="false" ht="16.5" hidden="false" customHeight="true" outlineLevel="0" collapsed="false">
      <c r="A29" s="150"/>
      <c r="B29" s="151" t="s">
        <v>102</v>
      </c>
      <c r="C29" s="151"/>
      <c r="D29" s="183" t="n">
        <f aca="false">SUM(I17:I26)</f>
        <v>5</v>
      </c>
      <c r="E29" s="153"/>
      <c r="F29" s="154"/>
      <c r="G29" s="155"/>
      <c r="H29" s="156"/>
      <c r="I29" s="156"/>
      <c r="K29" s="184" t="s">
        <v>103</v>
      </c>
      <c r="L29" s="184"/>
    </row>
    <row r="30" customFormat="false" ht="16.5" hidden="false" customHeight="true" outlineLevel="0" collapsed="false">
      <c r="A30" s="150"/>
      <c r="B30" s="151" t="s">
        <v>104</v>
      </c>
      <c r="C30" s="151"/>
      <c r="D30" s="158" t="str">
        <f aca="false">IF(D29=F27,"Semestre validé","Semestre non validé")</f>
        <v>Semestre non validé</v>
      </c>
      <c r="E30" s="154"/>
      <c r="F30" s="154"/>
      <c r="G30" s="159"/>
      <c r="K30" s="160"/>
      <c r="L30" s="154"/>
    </row>
    <row r="31" customFormat="false" ht="16.5" hidden="false" customHeight="true" outlineLevel="0" collapsed="false">
      <c r="A31" s="150"/>
      <c r="B31" s="151" t="s">
        <v>105</v>
      </c>
      <c r="C31" s="151"/>
      <c r="D31" s="161" t="n">
        <v>0</v>
      </c>
      <c r="E31" s="154"/>
      <c r="F31" s="154"/>
      <c r="G31" s="159"/>
      <c r="H31" s="154"/>
      <c r="I31" s="154"/>
      <c r="J31" s="154"/>
    </row>
    <row r="32" customFormat="false" ht="18" hidden="false" customHeight="true" outlineLevel="0" collapsed="false">
      <c r="B32" s="162"/>
      <c r="C32" s="162"/>
      <c r="D32" s="161"/>
      <c r="E32" s="154"/>
      <c r="F32" s="154"/>
      <c r="G32" s="159"/>
      <c r="H32" s="154"/>
      <c r="I32" s="154"/>
      <c r="J32" s="154"/>
    </row>
    <row r="33" customFormat="false" ht="16.5" hidden="false" customHeight="true" outlineLevel="0" collapsed="false">
      <c r="C33" s="149"/>
      <c r="H33" s="164" t="s">
        <v>106</v>
      </c>
      <c r="I33" s="164"/>
      <c r="J33" s="164"/>
      <c r="K33" s="164"/>
      <c r="L33" s="164"/>
      <c r="M33" s="164"/>
    </row>
    <row r="34" customFormat="false" ht="16.5" hidden="false" customHeight="true" outlineLevel="0" collapsed="false">
      <c r="B34" s="185" t="s">
        <v>107</v>
      </c>
      <c r="C34" s="185"/>
      <c r="D34" s="185"/>
      <c r="E34" s="185"/>
      <c r="F34" s="185"/>
      <c r="G34" s="185"/>
      <c r="H34" s="185"/>
      <c r="I34" s="185"/>
      <c r="J34" s="185"/>
      <c r="K34" s="185"/>
      <c r="L34" s="185"/>
      <c r="M34" s="185"/>
    </row>
    <row r="35" customFormat="false" ht="14.25" hidden="false" customHeight="true" outlineLevel="0" collapsed="false">
      <c r="B35" s="185"/>
      <c r="C35" s="185"/>
      <c r="D35" s="185"/>
      <c r="E35" s="185"/>
      <c r="F35" s="185"/>
      <c r="G35" s="185"/>
      <c r="H35" s="185"/>
      <c r="I35" s="185"/>
      <c r="J35" s="185"/>
      <c r="K35" s="185"/>
      <c r="L35" s="185"/>
      <c r="M35" s="185"/>
    </row>
    <row r="39" customFormat="false" ht="12" hidden="false" customHeight="true" outlineLevel="0" collapsed="false"/>
    <row r="40" customFormat="false" ht="12.75" hidden="true" customHeight="true" outlineLevel="0" collapsed="false">
      <c r="A40" s="2" t="s">
        <v>112</v>
      </c>
    </row>
    <row r="41" customFormat="false" ht="9" hidden="true" customHeight="true" outlineLevel="0" collapsed="false">
      <c r="A41" s="97" t="s">
        <v>113</v>
      </c>
    </row>
  </sheetData>
  <mergeCells count="57">
    <mergeCell ref="E4:M7"/>
    <mergeCell ref="B8:M8"/>
    <mergeCell ref="C9:E9"/>
    <mergeCell ref="G9:L9"/>
    <mergeCell ref="B10:C10"/>
    <mergeCell ref="D10:E10"/>
    <mergeCell ref="G10:L10"/>
    <mergeCell ref="C11:E11"/>
    <mergeCell ref="G11:L11"/>
    <mergeCell ref="C12:E12"/>
    <mergeCell ref="G12:L12"/>
    <mergeCell ref="B13:D14"/>
    <mergeCell ref="E13:F14"/>
    <mergeCell ref="G13:M13"/>
    <mergeCell ref="G14:I14"/>
    <mergeCell ref="J14:L14"/>
    <mergeCell ref="M14:M16"/>
    <mergeCell ref="B15:B27"/>
    <mergeCell ref="C15:D16"/>
    <mergeCell ref="E15:E16"/>
    <mergeCell ref="F15:F16"/>
    <mergeCell ref="H15:I15"/>
    <mergeCell ref="J15:L15"/>
    <mergeCell ref="C17:C18"/>
    <mergeCell ref="D17:D18"/>
    <mergeCell ref="H17:H18"/>
    <mergeCell ref="I17:I18"/>
    <mergeCell ref="K17:K18"/>
    <mergeCell ref="L17:L18"/>
    <mergeCell ref="M17:M18"/>
    <mergeCell ref="C19:C20"/>
    <mergeCell ref="D19:D20"/>
    <mergeCell ref="H19:H20"/>
    <mergeCell ref="I19:I20"/>
    <mergeCell ref="K19:K20"/>
    <mergeCell ref="L19:L20"/>
    <mergeCell ref="M19:M20"/>
    <mergeCell ref="C21:C23"/>
    <mergeCell ref="D21:D23"/>
    <mergeCell ref="H21:H23"/>
    <mergeCell ref="I21:I23"/>
    <mergeCell ref="K21:K23"/>
    <mergeCell ref="L21:L23"/>
    <mergeCell ref="M21:M23"/>
    <mergeCell ref="C24:C26"/>
    <mergeCell ref="D24:D26"/>
    <mergeCell ref="H24:H26"/>
    <mergeCell ref="I24:I26"/>
    <mergeCell ref="K24:K26"/>
    <mergeCell ref="L24:L26"/>
    <mergeCell ref="M24:M26"/>
    <mergeCell ref="C27:E27"/>
    <mergeCell ref="J27:M27"/>
    <mergeCell ref="B29:C29"/>
    <mergeCell ref="B30:C30"/>
    <mergeCell ref="B31:C31"/>
    <mergeCell ref="B34:M35"/>
  </mergeCells>
  <printOptions headings="false" gridLines="false" gridLinesSet="true" horizontalCentered="false" verticalCentered="false"/>
  <pageMargins left="0" right="0" top="0" bottom="0" header="0.511811023622047" footer="0.511811023622047"/>
  <pageSetup paperSize="9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7030A0"/>
    <pageSetUpPr fitToPage="false"/>
  </sheetPr>
  <dimension ref="A4:N43"/>
  <sheetViews>
    <sheetView showFormulas="false" showGridLines="false" showRowColHeaders="true" showZeros="true" rightToLeft="false" tabSelected="false" showOutlineSymbols="true" defaultGridColor="true" view="normal" topLeftCell="A9" colorId="64" zoomScale="100" zoomScaleNormal="100" zoomScalePageLayoutView="100" workbookViewId="0">
      <selection pane="topLeft" activeCell="H24" activeCellId="0" sqref="H24"/>
    </sheetView>
  </sheetViews>
  <sheetFormatPr defaultColWidth="10.890625" defaultRowHeight="14.25" customHeight="false" zeroHeight="false" outlineLevelRow="0" outlineLevelCol="0"/>
  <cols>
    <col collapsed="false" customWidth="true" hidden="false" outlineLevel="0" max="1" min="1" style="97" width="3"/>
    <col collapsed="false" customWidth="false" hidden="false" outlineLevel="0" max="2" min="2" style="97" width="10.89"/>
    <col collapsed="false" customWidth="true" hidden="false" outlineLevel="0" max="3" min="3" style="97" width="10.67"/>
    <col collapsed="false" customWidth="true" hidden="false" outlineLevel="0" max="4" min="4" style="97" width="21"/>
    <col collapsed="false" customWidth="true" hidden="false" outlineLevel="0" max="5" min="5" style="97" width="29.33"/>
    <col collapsed="false" customWidth="true" hidden="false" outlineLevel="0" max="6" min="6" style="97" width="11.67"/>
    <col collapsed="false" customWidth="true" hidden="false" outlineLevel="0" max="7" min="7" style="97" width="7.67"/>
    <col collapsed="false" customWidth="true" hidden="false" outlineLevel="0" max="8" min="8" style="97" width="6.67"/>
    <col collapsed="false" customWidth="true" hidden="false" outlineLevel="0" max="10" min="9" style="97" width="6.89"/>
    <col collapsed="false" customWidth="true" hidden="false" outlineLevel="0" max="11" min="11" style="97" width="6.11"/>
    <col collapsed="false" customWidth="true" hidden="false" outlineLevel="0" max="12" min="12" style="97" width="7"/>
    <col collapsed="false" customWidth="true" hidden="false" outlineLevel="0" max="13" min="13" style="97" width="11.89"/>
    <col collapsed="false" customWidth="true" hidden="false" outlineLevel="0" max="14" min="14" style="97" width="4.11"/>
    <col collapsed="false" customWidth="false" hidden="false" outlineLevel="0" max="16384" min="15" style="97" width="10.89"/>
  </cols>
  <sheetData>
    <row r="4" customFormat="false" ht="14.25" hidden="false" customHeight="true" outlineLevel="0" collapsed="false">
      <c r="E4" s="186" t="s">
        <v>110</v>
      </c>
      <c r="F4" s="186"/>
      <c r="G4" s="186"/>
      <c r="H4" s="186"/>
      <c r="I4" s="186"/>
      <c r="J4" s="186"/>
      <c r="K4" s="186"/>
      <c r="L4" s="186"/>
      <c r="M4" s="186"/>
    </row>
    <row r="5" customFormat="false" ht="14.25" hidden="false" customHeight="false" outlineLevel="0" collapsed="false">
      <c r="E5" s="186"/>
      <c r="F5" s="186"/>
      <c r="G5" s="186"/>
      <c r="H5" s="186"/>
      <c r="I5" s="186"/>
      <c r="J5" s="186"/>
      <c r="K5" s="186"/>
      <c r="L5" s="186"/>
      <c r="M5" s="186"/>
    </row>
    <row r="6" customFormat="false" ht="14.25" hidden="false" customHeight="false" outlineLevel="0" collapsed="false">
      <c r="E6" s="186"/>
      <c r="F6" s="186"/>
      <c r="G6" s="186"/>
      <c r="H6" s="186"/>
      <c r="I6" s="186"/>
      <c r="J6" s="186"/>
      <c r="K6" s="186"/>
      <c r="L6" s="186"/>
      <c r="M6" s="186"/>
    </row>
    <row r="7" customFormat="false" ht="14.25" hidden="false" customHeight="false" outlineLevel="0" collapsed="false">
      <c r="E7" s="186"/>
      <c r="F7" s="186"/>
      <c r="G7" s="186"/>
      <c r="H7" s="186"/>
      <c r="I7" s="186"/>
      <c r="J7" s="186"/>
      <c r="K7" s="186"/>
      <c r="L7" s="186"/>
      <c r="M7" s="186"/>
    </row>
    <row r="8" customFormat="false" ht="18" hidden="false" customHeight="true" outlineLevel="0" collapsed="false">
      <c r="A8" s="99"/>
      <c r="B8" s="100" t="s">
        <v>64</v>
      </c>
      <c r="C8" s="100"/>
      <c r="D8" s="100"/>
      <c r="E8" s="100"/>
      <c r="F8" s="100"/>
      <c r="G8" s="100"/>
      <c r="H8" s="100"/>
      <c r="I8" s="100"/>
      <c r="J8" s="100"/>
      <c r="K8" s="100"/>
      <c r="L8" s="100"/>
      <c r="M8" s="100"/>
      <c r="N8" s="99"/>
    </row>
    <row r="9" customFormat="false" ht="15" hidden="false" customHeight="true" outlineLevel="0" collapsed="false">
      <c r="B9" s="103" t="s">
        <v>65</v>
      </c>
      <c r="C9" s="108" t="str">
        <f aca="false">'SEMESTRE N°5'!A12</f>
        <v>MBADINGA IBOUANGA Evariste Firmin Désye</v>
      </c>
      <c r="D9" s="108"/>
      <c r="E9" s="108"/>
      <c r="F9" s="103" t="s">
        <v>66</v>
      </c>
      <c r="G9" s="187" t="s">
        <v>67</v>
      </c>
      <c r="H9" s="187"/>
      <c r="I9" s="187"/>
      <c r="J9" s="187"/>
      <c r="K9" s="187"/>
      <c r="L9" s="187"/>
      <c r="M9" s="187"/>
    </row>
    <row r="10" customFormat="false" ht="15" hidden="false" customHeight="true" outlineLevel="0" collapsed="false">
      <c r="B10" s="106" t="s">
        <v>68</v>
      </c>
      <c r="C10" s="106"/>
      <c r="D10" s="166" t="str">
        <f aca="false">'SEMESTRE N°5'!B12</f>
        <v>11/05/2006</v>
      </c>
      <c r="E10" s="166"/>
      <c r="F10" s="103" t="s">
        <v>69</v>
      </c>
      <c r="G10" s="167" t="s">
        <v>114</v>
      </c>
      <c r="H10" s="167"/>
      <c r="I10" s="167"/>
      <c r="J10" s="167"/>
      <c r="K10" s="167"/>
      <c r="L10" s="167"/>
      <c r="M10" s="188"/>
    </row>
    <row r="11" customFormat="false" ht="15" hidden="false" customHeight="true" outlineLevel="0" collapsed="false">
      <c r="B11" s="103" t="s">
        <v>71</v>
      </c>
      <c r="C11" s="108" t="str">
        <f aca="false">'SEMESTRE N°5'!C12</f>
        <v>Gabonaise</v>
      </c>
      <c r="D11" s="108"/>
      <c r="E11" s="108"/>
      <c r="F11" s="103" t="s">
        <v>72</v>
      </c>
      <c r="G11" s="167" t="str">
        <f aca="false">A43</f>
        <v>Informatique &amp; Monétique Bancaire </v>
      </c>
      <c r="H11" s="167"/>
      <c r="I11" s="167"/>
      <c r="J11" s="167"/>
      <c r="K11" s="167"/>
      <c r="L11" s="167"/>
      <c r="M11" s="188"/>
    </row>
    <row r="12" customFormat="false" ht="15" hidden="false" customHeight="true" outlineLevel="0" collapsed="false">
      <c r="B12" s="103" t="s">
        <v>73</v>
      </c>
      <c r="C12" s="105" t="n">
        <f aca="false">'SEMESTRE N°5'!D12</f>
        <v>102022</v>
      </c>
      <c r="D12" s="105"/>
      <c r="E12" s="105"/>
      <c r="F12" s="103" t="s">
        <v>74</v>
      </c>
      <c r="G12" s="109" t="s">
        <v>75</v>
      </c>
      <c r="H12" s="109"/>
      <c r="I12" s="109"/>
      <c r="J12" s="109"/>
      <c r="K12" s="109"/>
      <c r="L12" s="109"/>
      <c r="M12" s="188"/>
    </row>
    <row r="13" customFormat="false" ht="14.25" hidden="false" customHeight="false" outlineLevel="0" collapsed="false">
      <c r="B13" s="110" t="s">
        <v>76</v>
      </c>
      <c r="C13" s="110"/>
      <c r="D13" s="110"/>
      <c r="E13" s="111" t="s">
        <v>77</v>
      </c>
      <c r="F13" s="111"/>
      <c r="G13" s="112" t="s">
        <v>78</v>
      </c>
      <c r="H13" s="112"/>
      <c r="I13" s="112"/>
      <c r="J13" s="112"/>
      <c r="K13" s="112"/>
      <c r="L13" s="112"/>
      <c r="M13" s="112"/>
    </row>
    <row r="14" customFormat="false" ht="14.25" hidden="false" customHeight="false" outlineLevel="0" collapsed="false">
      <c r="B14" s="110"/>
      <c r="C14" s="110"/>
      <c r="D14" s="110"/>
      <c r="E14" s="111"/>
      <c r="F14" s="111"/>
      <c r="G14" s="112" t="s">
        <v>79</v>
      </c>
      <c r="H14" s="112"/>
      <c r="I14" s="112"/>
      <c r="J14" s="170" t="s">
        <v>80</v>
      </c>
      <c r="K14" s="170"/>
      <c r="L14" s="170"/>
      <c r="M14" s="171" t="s">
        <v>81</v>
      </c>
    </row>
    <row r="15" customFormat="false" ht="14.25" hidden="false" customHeight="false" outlineLevel="0" collapsed="false">
      <c r="B15" s="116" t="s">
        <v>82</v>
      </c>
      <c r="C15" s="117" t="s">
        <v>83</v>
      </c>
      <c r="D15" s="117"/>
      <c r="E15" s="118" t="s">
        <v>83</v>
      </c>
      <c r="F15" s="118" t="s">
        <v>84</v>
      </c>
      <c r="G15" s="119" t="s">
        <v>85</v>
      </c>
      <c r="H15" s="118" t="s">
        <v>86</v>
      </c>
      <c r="I15" s="118"/>
      <c r="J15" s="122" t="s">
        <v>9</v>
      </c>
      <c r="K15" s="122"/>
      <c r="L15" s="122"/>
      <c r="M15" s="171"/>
    </row>
    <row r="16" customFormat="false" ht="14.25" hidden="false" customHeight="false" outlineLevel="0" collapsed="false">
      <c r="B16" s="116"/>
      <c r="C16" s="117"/>
      <c r="D16" s="117"/>
      <c r="E16" s="118"/>
      <c r="F16" s="118"/>
      <c r="G16" s="118" t="s">
        <v>87</v>
      </c>
      <c r="H16" s="118" t="s">
        <v>87</v>
      </c>
      <c r="I16" s="118" t="s">
        <v>84</v>
      </c>
      <c r="J16" s="122" t="s">
        <v>87</v>
      </c>
      <c r="K16" s="122" t="s">
        <v>87</v>
      </c>
      <c r="L16" s="122" t="s">
        <v>84</v>
      </c>
      <c r="M16" s="171"/>
    </row>
    <row r="17" customFormat="false" ht="16.5" hidden="false" customHeight="true" outlineLevel="0" collapsed="false">
      <c r="B17" s="116"/>
      <c r="C17" s="123" t="s">
        <v>88</v>
      </c>
      <c r="D17" s="189" t="s">
        <v>89</v>
      </c>
      <c r="E17" s="190" t="s">
        <v>90</v>
      </c>
      <c r="F17" s="126" t="n">
        <v>6</v>
      </c>
      <c r="G17" s="127" t="n">
        <f aca="false">'SEMESTRE N°5'!H12</f>
        <v>15.2</v>
      </c>
      <c r="H17" s="128" t="n">
        <f aca="false">IF(AND(G17&gt;=8, G18&gt;=8), ROUND(((F17*G17) + (F18*G18)) / (F17 + F18), 2), 0)</f>
        <v>15.15</v>
      </c>
      <c r="I17" s="128" t="n">
        <f aca="false">IF(H17&gt;9.99,(F17+F18),0)</f>
        <v>9</v>
      </c>
      <c r="J17" s="129"/>
      <c r="K17" s="129"/>
      <c r="L17" s="129"/>
      <c r="M17" s="128" t="str">
        <f aca="false">IF(H17&gt;9.99,"Validé","Non validé")</f>
        <v>Validé</v>
      </c>
    </row>
    <row r="18" customFormat="false" ht="16.5" hidden="false" customHeight="true" outlineLevel="0" collapsed="false">
      <c r="B18" s="116"/>
      <c r="C18" s="123"/>
      <c r="D18" s="189"/>
      <c r="E18" s="191" t="s">
        <v>91</v>
      </c>
      <c r="F18" s="192" t="n">
        <v>3</v>
      </c>
      <c r="G18" s="193" t="n">
        <f aca="false">'SEMESTRE N°5'!L12</f>
        <v>15.05</v>
      </c>
      <c r="H18" s="128"/>
      <c r="I18" s="128"/>
      <c r="J18" s="132"/>
      <c r="K18" s="129"/>
      <c r="L18" s="129"/>
      <c r="M18" s="128"/>
    </row>
    <row r="19" customFormat="false" ht="16.5" hidden="false" customHeight="true" outlineLevel="0" collapsed="false">
      <c r="B19" s="116"/>
      <c r="C19" s="133" t="s">
        <v>92</v>
      </c>
      <c r="D19" s="124" t="s">
        <v>93</v>
      </c>
      <c r="E19" s="131" t="s">
        <v>12</v>
      </c>
      <c r="F19" s="126" t="n">
        <v>2</v>
      </c>
      <c r="G19" s="127" t="n">
        <f aca="false">'SEMESTRE N°5'!P12</f>
        <v>11.2</v>
      </c>
      <c r="H19" s="128" t="n">
        <f aca="false">IF(AND(G19&gt;=8, G20&gt;=8), ROUND(((F19*G19) + (F20*G20)) / (F19 + F20), 2), 0)</f>
        <v>11.14</v>
      </c>
      <c r="I19" s="128" t="n">
        <f aca="false">IF(H19&gt;9.99,(F19+F20),0)</f>
        <v>5</v>
      </c>
      <c r="J19" s="132"/>
      <c r="K19" s="132"/>
      <c r="L19" s="132"/>
      <c r="M19" s="128" t="str">
        <f aca="false">IF(H19&gt;9.99,"Validé","Non validé")</f>
        <v>Validé</v>
      </c>
    </row>
    <row r="20" customFormat="false" ht="16.5" hidden="false" customHeight="true" outlineLevel="0" collapsed="false">
      <c r="B20" s="116"/>
      <c r="C20" s="133"/>
      <c r="D20" s="124"/>
      <c r="E20" s="134" t="s">
        <v>13</v>
      </c>
      <c r="F20" s="126" t="n">
        <v>3</v>
      </c>
      <c r="G20" s="127" t="n">
        <f aca="false">'SEMESTRE N°5'!T12</f>
        <v>11.1</v>
      </c>
      <c r="H20" s="128"/>
      <c r="I20" s="128"/>
      <c r="J20" s="132"/>
      <c r="K20" s="132"/>
      <c r="L20" s="132"/>
      <c r="M20" s="128"/>
    </row>
    <row r="21" customFormat="false" ht="16.5" hidden="false" customHeight="true" outlineLevel="0" collapsed="false">
      <c r="B21" s="116"/>
      <c r="C21" s="133" t="s">
        <v>94</v>
      </c>
      <c r="D21" s="124" t="s">
        <v>95</v>
      </c>
      <c r="E21" s="135" t="s">
        <v>14</v>
      </c>
      <c r="F21" s="126" t="n">
        <v>2</v>
      </c>
      <c r="G21" s="127" t="n">
        <f aca="false">'SEMESTRE N°5'!X12</f>
        <v>9.1</v>
      </c>
      <c r="H21" s="128" t="n">
        <f aca="false">IF(AND(G21&gt;=8, G23&gt;=8, G22&gt;=8), ROUND(((F21*G21) + (F23*G23)+ (F22*G22)) / (F21 + F23 + F22), 2), 0)</f>
        <v>11.5</v>
      </c>
      <c r="I21" s="128" t="n">
        <f aca="false">IF(H21&gt;9.99,(F21+F23+F22),0)</f>
        <v>8</v>
      </c>
      <c r="J21" s="132"/>
      <c r="K21" s="132"/>
      <c r="L21" s="132"/>
      <c r="M21" s="128" t="str">
        <f aca="false">IF(H21&gt;9.99,"Validé","Non validé")</f>
        <v>Validé</v>
      </c>
    </row>
    <row r="22" customFormat="false" ht="16.5" hidden="false" customHeight="true" outlineLevel="0" collapsed="false">
      <c r="B22" s="116"/>
      <c r="C22" s="133"/>
      <c r="D22" s="124"/>
      <c r="E22" s="136" t="s">
        <v>15</v>
      </c>
      <c r="F22" s="137" t="n">
        <v>3</v>
      </c>
      <c r="G22" s="138" t="n">
        <f aca="false">'SEMESTRE N°5'!AB12</f>
        <v>12.864</v>
      </c>
      <c r="H22" s="128"/>
      <c r="I22" s="128"/>
      <c r="J22" s="132"/>
      <c r="K22" s="132"/>
      <c r="L22" s="132"/>
      <c r="M22" s="128"/>
    </row>
    <row r="23" customFormat="false" ht="16.5" hidden="false" customHeight="true" outlineLevel="0" collapsed="false">
      <c r="B23" s="116"/>
      <c r="C23" s="133"/>
      <c r="D23" s="124"/>
      <c r="E23" s="136" t="s">
        <v>16</v>
      </c>
      <c r="F23" s="126" t="n">
        <v>3</v>
      </c>
      <c r="G23" s="127" t="n">
        <f aca="false">'SEMESTRE N°5'!AF12</f>
        <v>11.748</v>
      </c>
      <c r="H23" s="128"/>
      <c r="I23" s="128"/>
      <c r="J23" s="132"/>
      <c r="K23" s="132"/>
      <c r="L23" s="132"/>
      <c r="M23" s="128"/>
    </row>
    <row r="24" customFormat="false" ht="16.5" hidden="false" customHeight="true" outlineLevel="0" collapsed="false">
      <c r="B24" s="116"/>
      <c r="C24" s="139" t="s">
        <v>96</v>
      </c>
      <c r="D24" s="140" t="s">
        <v>97</v>
      </c>
      <c r="E24" s="141" t="s">
        <v>98</v>
      </c>
      <c r="F24" s="142" t="n">
        <v>3</v>
      </c>
      <c r="G24" s="138" t="n">
        <f aca="false">'SEMESTRE N°5'!AJ12</f>
        <v>13</v>
      </c>
      <c r="H24" s="128" t="n">
        <f aca="false">IF(AND(G24&gt;=8, G26&gt;=8, G25&gt;=8), ROUND(((F24*G24) + (F26*G26)+ (F25*G25)) / (F24 + F26 + F25), 2), 0)</f>
        <v>0</v>
      </c>
      <c r="I24" s="128" t="n">
        <f aca="false">IF(H24&gt;9.99,(F24+F25+F26),0)</f>
        <v>0</v>
      </c>
      <c r="J24" s="132"/>
      <c r="K24" s="132"/>
      <c r="L24" s="143"/>
      <c r="M24" s="128" t="str">
        <f aca="false">IF(H24&gt;9.99,"Validé","Non validé")</f>
        <v>Non validé</v>
      </c>
    </row>
    <row r="25" customFormat="false" ht="16.5" hidden="false" customHeight="true" outlineLevel="0" collapsed="false">
      <c r="B25" s="116"/>
      <c r="C25" s="139"/>
      <c r="D25" s="140"/>
      <c r="E25" s="134" t="s">
        <v>99</v>
      </c>
      <c r="F25" s="126" t="n">
        <v>3</v>
      </c>
      <c r="G25" s="127" t="n">
        <f aca="false">'SEMESTRE N°5'!AN12</f>
        <v>12.2</v>
      </c>
      <c r="H25" s="128"/>
      <c r="I25" s="128"/>
      <c r="J25" s="132"/>
      <c r="K25" s="132"/>
      <c r="L25" s="132"/>
      <c r="M25" s="128"/>
    </row>
    <row r="26" customFormat="false" ht="16.5" hidden="false" customHeight="true" outlineLevel="0" collapsed="false">
      <c r="B26" s="116"/>
      <c r="C26" s="139"/>
      <c r="D26" s="140"/>
      <c r="E26" s="134" t="s">
        <v>100</v>
      </c>
      <c r="F26" s="126" t="n">
        <v>2</v>
      </c>
      <c r="G26" s="127" t="n">
        <f aca="false">'SEMESTRE N°5'!AR12</f>
        <v>7.2</v>
      </c>
      <c r="H26" s="128"/>
      <c r="I26" s="128"/>
      <c r="J26" s="132"/>
      <c r="K26" s="132"/>
      <c r="L26" s="143"/>
      <c r="M26" s="128"/>
    </row>
    <row r="27" customFormat="false" ht="19.5" hidden="false" customHeight="true" outlineLevel="0" collapsed="false">
      <c r="B27" s="116"/>
      <c r="C27" s="144" t="s">
        <v>101</v>
      </c>
      <c r="D27" s="144"/>
      <c r="E27" s="144"/>
      <c r="F27" s="145" t="n">
        <f aca="false">SUM(F17:F26)</f>
        <v>30</v>
      </c>
      <c r="G27" s="180"/>
      <c r="H27" s="128" t="n">
        <f aca="false">ROUND((H17+H19+H21+H24)/4,2)</f>
        <v>9.45</v>
      </c>
      <c r="I27" s="181" t="n">
        <f aca="false">SUM(I17:I26)</f>
        <v>22</v>
      </c>
      <c r="J27" s="182"/>
      <c r="K27" s="182"/>
      <c r="L27" s="182"/>
      <c r="M27" s="182"/>
    </row>
    <row r="28" customFormat="false" ht="12" hidden="false" customHeight="true" outlineLevel="0" collapsed="false">
      <c r="C28" s="149"/>
      <c r="G28" s="149"/>
    </row>
    <row r="29" customFormat="false" ht="16.5" hidden="false" customHeight="true" outlineLevel="0" collapsed="false">
      <c r="A29" s="150"/>
      <c r="B29" s="151" t="s">
        <v>102</v>
      </c>
      <c r="C29" s="151"/>
      <c r="D29" s="152" t="n">
        <f aca="false">SUM(I17:I26)</f>
        <v>22</v>
      </c>
      <c r="E29" s="153"/>
      <c r="F29" s="154"/>
      <c r="G29" s="155"/>
      <c r="H29" s="156"/>
      <c r="I29" s="156"/>
      <c r="J29" s="194" t="s">
        <v>103</v>
      </c>
      <c r="K29" s="194"/>
      <c r="L29" s="194"/>
      <c r="M29" s="194"/>
    </row>
    <row r="30" customFormat="false" ht="16.5" hidden="false" customHeight="true" outlineLevel="0" collapsed="false">
      <c r="A30" s="150"/>
      <c r="B30" s="151" t="s">
        <v>104</v>
      </c>
      <c r="C30" s="151"/>
      <c r="D30" s="158" t="str">
        <f aca="false">IF(D29=F27,"Semestre validé","Semestre non validé")</f>
        <v>Semestre non validé</v>
      </c>
      <c r="E30" s="154"/>
      <c r="F30" s="154"/>
      <c r="G30" s="159"/>
      <c r="K30" s="160"/>
      <c r="L30" s="154"/>
    </row>
    <row r="31" customFormat="false" ht="16.5" hidden="false" customHeight="true" outlineLevel="0" collapsed="false">
      <c r="A31" s="150"/>
      <c r="B31" s="151" t="s">
        <v>105</v>
      </c>
      <c r="C31" s="151"/>
      <c r="D31" s="161" t="n">
        <v>0</v>
      </c>
      <c r="E31" s="154"/>
      <c r="F31" s="154"/>
      <c r="G31" s="159"/>
      <c r="H31" s="154"/>
      <c r="I31" s="154"/>
      <c r="J31" s="154"/>
    </row>
    <row r="32" customFormat="false" ht="16.5" hidden="false" customHeight="true" outlineLevel="0" collapsed="false">
      <c r="B32" s="10"/>
      <c r="C32" s="10"/>
      <c r="D32" s="161"/>
      <c r="E32" s="154"/>
      <c r="F32" s="154"/>
      <c r="G32" s="159"/>
      <c r="H32" s="154"/>
      <c r="I32" s="154"/>
      <c r="J32" s="154"/>
    </row>
    <row r="33" customFormat="false" ht="12" hidden="false" customHeight="true" outlineLevel="0" collapsed="false">
      <c r="B33" s="10"/>
      <c r="C33" s="10"/>
      <c r="D33" s="161"/>
      <c r="E33" s="154"/>
      <c r="F33" s="154"/>
      <c r="G33" s="159"/>
      <c r="H33" s="154"/>
      <c r="I33" s="154"/>
      <c r="J33" s="154"/>
    </row>
    <row r="34" customFormat="false" ht="16.5" hidden="false" customHeight="true" outlineLevel="0" collapsed="false">
      <c r="B34" s="10"/>
      <c r="C34" s="10"/>
      <c r="D34" s="161"/>
      <c r="E34" s="154"/>
      <c r="F34" s="154"/>
      <c r="G34" s="159"/>
      <c r="H34" s="154"/>
      <c r="I34" s="154"/>
      <c r="J34" s="154"/>
    </row>
    <row r="35" customFormat="false" ht="16.5" hidden="false" customHeight="true" outlineLevel="0" collapsed="false">
      <c r="C35" s="149"/>
      <c r="G35" s="163" t="s">
        <v>106</v>
      </c>
      <c r="H35" s="163"/>
      <c r="I35" s="163"/>
      <c r="J35" s="163"/>
      <c r="K35" s="163"/>
      <c r="L35" s="163"/>
      <c r="M35" s="163"/>
    </row>
    <row r="36" customFormat="false" ht="16.5" hidden="false" customHeight="true" outlineLevel="0" collapsed="false">
      <c r="B36" s="165" t="s">
        <v>107</v>
      </c>
      <c r="C36" s="165"/>
      <c r="D36" s="165"/>
      <c r="E36" s="165"/>
      <c r="F36" s="165"/>
      <c r="G36" s="165"/>
      <c r="H36" s="165"/>
      <c r="I36" s="165"/>
      <c r="J36" s="165"/>
      <c r="K36" s="165"/>
      <c r="L36" s="165"/>
      <c r="M36" s="165"/>
    </row>
    <row r="37" customFormat="false" ht="11.25" hidden="false" customHeight="true" outlineLevel="0" collapsed="false">
      <c r="B37" s="165"/>
      <c r="C37" s="165"/>
      <c r="D37" s="165"/>
      <c r="E37" s="165"/>
      <c r="F37" s="165"/>
      <c r="G37" s="165"/>
      <c r="H37" s="165"/>
      <c r="I37" s="165"/>
      <c r="J37" s="165"/>
      <c r="K37" s="165"/>
      <c r="L37" s="165"/>
      <c r="M37" s="165"/>
    </row>
    <row r="41" customFormat="false" ht="12.75" hidden="false" customHeight="true" outlineLevel="0" collapsed="false"/>
    <row r="42" customFormat="false" ht="12.75" hidden="true" customHeight="true" outlineLevel="0" collapsed="false">
      <c r="A42" s="2" t="s">
        <v>112</v>
      </c>
    </row>
    <row r="43" customFormat="false" ht="2.25" hidden="false" customHeight="true" outlineLevel="0" collapsed="false">
      <c r="A43" s="97" t="s">
        <v>115</v>
      </c>
    </row>
  </sheetData>
  <mergeCells count="59">
    <mergeCell ref="E4:M7"/>
    <mergeCell ref="B8:M8"/>
    <mergeCell ref="C9:E9"/>
    <mergeCell ref="G9:M9"/>
    <mergeCell ref="B10:C10"/>
    <mergeCell ref="D10:E10"/>
    <mergeCell ref="G10:L10"/>
    <mergeCell ref="C11:E11"/>
    <mergeCell ref="G11:L11"/>
    <mergeCell ref="C12:E12"/>
    <mergeCell ref="G12:L12"/>
    <mergeCell ref="B13:D14"/>
    <mergeCell ref="E13:F14"/>
    <mergeCell ref="G13:M13"/>
    <mergeCell ref="G14:I14"/>
    <mergeCell ref="J14:L14"/>
    <mergeCell ref="M14:M16"/>
    <mergeCell ref="B15:B27"/>
    <mergeCell ref="C15:D16"/>
    <mergeCell ref="E15:E16"/>
    <mergeCell ref="F15:F16"/>
    <mergeCell ref="H15:I15"/>
    <mergeCell ref="J15:L15"/>
    <mergeCell ref="C17:C18"/>
    <mergeCell ref="D17:D18"/>
    <mergeCell ref="H17:H18"/>
    <mergeCell ref="I17:I18"/>
    <mergeCell ref="K17:K18"/>
    <mergeCell ref="L17:L18"/>
    <mergeCell ref="M17:M18"/>
    <mergeCell ref="C19:C20"/>
    <mergeCell ref="D19:D20"/>
    <mergeCell ref="H19:H20"/>
    <mergeCell ref="I19:I20"/>
    <mergeCell ref="K19:K20"/>
    <mergeCell ref="L19:L20"/>
    <mergeCell ref="M19:M20"/>
    <mergeCell ref="C21:C23"/>
    <mergeCell ref="D21:D23"/>
    <mergeCell ref="H21:H23"/>
    <mergeCell ref="I21:I23"/>
    <mergeCell ref="K21:K23"/>
    <mergeCell ref="L21:L23"/>
    <mergeCell ref="M21:M23"/>
    <mergeCell ref="C24:C26"/>
    <mergeCell ref="D24:D26"/>
    <mergeCell ref="H24:H26"/>
    <mergeCell ref="I24:I26"/>
    <mergeCell ref="K24:K26"/>
    <mergeCell ref="L24:L26"/>
    <mergeCell ref="M24:M26"/>
    <mergeCell ref="C27:E27"/>
    <mergeCell ref="J27:M27"/>
    <mergeCell ref="B29:C29"/>
    <mergeCell ref="J29:M29"/>
    <mergeCell ref="B30:C30"/>
    <mergeCell ref="B31:C31"/>
    <mergeCell ref="G35:M35"/>
    <mergeCell ref="B36:M37"/>
  </mergeCells>
  <printOptions headings="false" gridLines="false" gridLinesSet="true" horizontalCentered="false" verticalCentered="false"/>
  <pageMargins left="0" right="0" top="0" bottom="0" header="0.511811023622047" footer="0.511811023622047"/>
  <pageSetup paperSize="9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7030A0"/>
    <pageSetUpPr fitToPage="false"/>
  </sheetPr>
  <dimension ref="A4:N43"/>
  <sheetViews>
    <sheetView showFormulas="false" showGridLines="false" showRowColHeaders="true" showZeros="true" rightToLeft="false" tabSelected="false" showOutlineSymbols="true" defaultGridColor="true" view="normal" topLeftCell="A12" colorId="64" zoomScale="100" zoomScaleNormal="100" zoomScalePageLayoutView="100" workbookViewId="0">
      <selection pane="topLeft" activeCell="E24" activeCellId="0" sqref="E24"/>
    </sheetView>
  </sheetViews>
  <sheetFormatPr defaultColWidth="10.890625" defaultRowHeight="14.25" customHeight="false" zeroHeight="false" outlineLevelRow="0" outlineLevelCol="0"/>
  <cols>
    <col collapsed="false" customWidth="true" hidden="false" outlineLevel="0" max="1" min="1" style="97" width="4.67"/>
    <col collapsed="false" customWidth="false" hidden="false" outlineLevel="0" max="2" min="2" style="97" width="10.89"/>
    <col collapsed="false" customWidth="true" hidden="false" outlineLevel="0" max="3" min="3" style="97" width="10.67"/>
    <col collapsed="false" customWidth="true" hidden="false" outlineLevel="0" max="4" min="4" style="97" width="19.55"/>
    <col collapsed="false" customWidth="true" hidden="false" outlineLevel="0" max="5" min="5" style="97" width="27"/>
    <col collapsed="false" customWidth="true" hidden="false" outlineLevel="0" max="6" min="6" style="97" width="11.67"/>
    <col collapsed="false" customWidth="true" hidden="false" outlineLevel="0" max="9" min="7" style="97" width="7.67"/>
    <col collapsed="false" customWidth="true" hidden="false" outlineLevel="0" max="10" min="10" style="97" width="9.33"/>
    <col collapsed="false" customWidth="true" hidden="false" outlineLevel="0" max="11" min="11" style="97" width="7.89"/>
    <col collapsed="false" customWidth="true" hidden="false" outlineLevel="0" max="12" min="12" style="97" width="7.11"/>
    <col collapsed="false" customWidth="true" hidden="false" outlineLevel="0" max="13" min="13" style="97" width="11.11"/>
    <col collapsed="false" customWidth="true" hidden="false" outlineLevel="0" max="14" min="14" style="97" width="4.11"/>
    <col collapsed="false" customWidth="false" hidden="false" outlineLevel="0" max="16384" min="15" style="97" width="10.89"/>
  </cols>
  <sheetData>
    <row r="4" customFormat="false" ht="15" hidden="false" customHeight="true" outlineLevel="0" collapsed="false">
      <c r="E4" s="195"/>
      <c r="F4" s="195"/>
      <c r="G4" s="195"/>
      <c r="H4" s="195"/>
      <c r="I4" s="195"/>
      <c r="J4" s="195"/>
      <c r="K4" s="195"/>
      <c r="L4" s="195"/>
      <c r="M4" s="195"/>
    </row>
    <row r="5" customFormat="false" ht="14.25" hidden="false" customHeight="true" outlineLevel="0" collapsed="false">
      <c r="E5" s="186" t="s">
        <v>110</v>
      </c>
      <c r="F5" s="186"/>
      <c r="G5" s="186"/>
      <c r="H5" s="186"/>
      <c r="I5" s="186"/>
      <c r="J5" s="186"/>
      <c r="K5" s="186"/>
      <c r="L5" s="186"/>
      <c r="M5" s="186"/>
    </row>
    <row r="6" customFormat="false" ht="14.25" hidden="false" customHeight="false" outlineLevel="0" collapsed="false">
      <c r="E6" s="186"/>
      <c r="F6" s="186"/>
      <c r="G6" s="186"/>
      <c r="H6" s="186"/>
      <c r="I6" s="186"/>
      <c r="J6" s="186"/>
      <c r="K6" s="186"/>
      <c r="L6" s="186"/>
      <c r="M6" s="186"/>
    </row>
    <row r="7" customFormat="false" ht="14.25" hidden="false" customHeight="false" outlineLevel="0" collapsed="false">
      <c r="E7" s="186"/>
      <c r="F7" s="186"/>
      <c r="G7" s="186"/>
      <c r="H7" s="186"/>
      <c r="I7" s="186"/>
      <c r="J7" s="186"/>
      <c r="K7" s="186"/>
      <c r="L7" s="186"/>
      <c r="M7" s="186"/>
    </row>
    <row r="8" customFormat="false" ht="14.25" hidden="false" customHeight="false" outlineLevel="0" collapsed="false">
      <c r="E8" s="186"/>
      <c r="F8" s="186"/>
      <c r="G8" s="186"/>
      <c r="H8" s="186"/>
      <c r="I8" s="186"/>
      <c r="J8" s="186"/>
      <c r="K8" s="186"/>
      <c r="L8" s="186"/>
      <c r="M8" s="186"/>
    </row>
    <row r="9" customFormat="false" ht="18" hidden="false" customHeight="true" outlineLevel="0" collapsed="false">
      <c r="A9" s="99"/>
      <c r="B9" s="100" t="s">
        <v>64</v>
      </c>
      <c r="C9" s="100"/>
      <c r="D9" s="100"/>
      <c r="E9" s="100"/>
      <c r="F9" s="100"/>
      <c r="G9" s="100"/>
      <c r="H9" s="100"/>
      <c r="I9" s="100"/>
      <c r="J9" s="100"/>
      <c r="K9" s="100"/>
      <c r="L9" s="100"/>
      <c r="M9" s="100"/>
      <c r="N9" s="99"/>
    </row>
    <row r="10" customFormat="false" ht="11.25" hidden="false" customHeight="true" outlineLevel="0" collapsed="false">
      <c r="B10" s="101"/>
      <c r="C10" s="101"/>
      <c r="D10" s="101"/>
      <c r="E10" s="101"/>
      <c r="F10" s="101"/>
      <c r="G10" s="101"/>
      <c r="H10" s="101"/>
      <c r="I10" s="101"/>
      <c r="J10" s="101"/>
      <c r="K10" s="101"/>
      <c r="L10" s="101"/>
    </row>
    <row r="11" customFormat="false" ht="16.5" hidden="false" customHeight="true" outlineLevel="0" collapsed="false">
      <c r="B11" s="103" t="s">
        <v>65</v>
      </c>
      <c r="C11" s="108" t="str">
        <f aca="false">'SEMESTRE N°5'!A13</f>
        <v>NZOUGHE NGUEMA Paul Alain</v>
      </c>
      <c r="D11" s="108"/>
      <c r="E11" s="108"/>
      <c r="F11" s="103" t="s">
        <v>66</v>
      </c>
      <c r="G11" s="105" t="s">
        <v>67</v>
      </c>
      <c r="H11" s="105"/>
      <c r="I11" s="105"/>
      <c r="J11" s="105"/>
      <c r="K11" s="105"/>
      <c r="L11" s="105"/>
    </row>
    <row r="12" customFormat="false" ht="16.5" hidden="false" customHeight="true" outlineLevel="0" collapsed="false">
      <c r="B12" s="106" t="s">
        <v>68</v>
      </c>
      <c r="C12" s="106"/>
      <c r="D12" s="166" t="str">
        <f aca="false">'SEMESTRE N°5'!B13</f>
        <v>25/03/2002</v>
      </c>
      <c r="E12" s="166"/>
      <c r="F12" s="103" t="s">
        <v>69</v>
      </c>
      <c r="G12" s="167" t="s">
        <v>70</v>
      </c>
      <c r="H12" s="167"/>
      <c r="I12" s="167"/>
      <c r="J12" s="167"/>
      <c r="K12" s="167"/>
      <c r="L12" s="167"/>
    </row>
    <row r="13" customFormat="false" ht="16.5" hidden="false" customHeight="true" outlineLevel="0" collapsed="false">
      <c r="B13" s="103" t="s">
        <v>71</v>
      </c>
      <c r="C13" s="108" t="str">
        <f aca="false">'SEMESTRE N°5'!C13</f>
        <v>Gabonaise</v>
      </c>
      <c r="D13" s="108"/>
      <c r="E13" s="108"/>
      <c r="F13" s="103" t="s">
        <v>72</v>
      </c>
      <c r="G13" s="167" t="s">
        <v>109</v>
      </c>
      <c r="H13" s="167"/>
      <c r="I13" s="167"/>
      <c r="J13" s="167"/>
      <c r="K13" s="167"/>
      <c r="L13" s="167"/>
    </row>
    <row r="14" customFormat="false" ht="16.5" hidden="false" customHeight="true" outlineLevel="0" collapsed="false">
      <c r="B14" s="103" t="s">
        <v>73</v>
      </c>
      <c r="C14" s="166" t="n">
        <f aca="false">'SEMESTRE N°5'!D13</f>
        <v>152022</v>
      </c>
      <c r="D14" s="166"/>
      <c r="E14" s="166"/>
      <c r="F14" s="103" t="s">
        <v>74</v>
      </c>
      <c r="G14" s="109" t="s">
        <v>75</v>
      </c>
      <c r="H14" s="109"/>
      <c r="I14" s="109"/>
      <c r="J14" s="109"/>
      <c r="K14" s="109"/>
      <c r="L14" s="109"/>
    </row>
    <row r="15" customFormat="false" ht="14.25" hidden="false" customHeight="false" outlineLevel="0" collapsed="false">
      <c r="B15" s="110" t="s">
        <v>76</v>
      </c>
      <c r="C15" s="110"/>
      <c r="D15" s="110"/>
      <c r="E15" s="111" t="s">
        <v>77</v>
      </c>
      <c r="F15" s="111"/>
      <c r="G15" s="112" t="s">
        <v>78</v>
      </c>
      <c r="H15" s="112"/>
      <c r="I15" s="112"/>
      <c r="J15" s="112"/>
      <c r="K15" s="112"/>
      <c r="L15" s="112"/>
      <c r="M15" s="112"/>
    </row>
    <row r="16" customFormat="false" ht="14.25" hidden="false" customHeight="false" outlineLevel="0" collapsed="false">
      <c r="B16" s="110"/>
      <c r="C16" s="110"/>
      <c r="D16" s="110"/>
      <c r="E16" s="111"/>
      <c r="F16" s="111"/>
      <c r="G16" s="112" t="s">
        <v>79</v>
      </c>
      <c r="H16" s="112"/>
      <c r="I16" s="112"/>
      <c r="J16" s="113" t="s">
        <v>80</v>
      </c>
      <c r="K16" s="113"/>
      <c r="L16" s="113"/>
      <c r="M16" s="114" t="s">
        <v>81</v>
      </c>
    </row>
    <row r="17" customFormat="false" ht="14.25" hidden="false" customHeight="false" outlineLevel="0" collapsed="false">
      <c r="B17" s="116" t="s">
        <v>82</v>
      </c>
      <c r="C17" s="117" t="s">
        <v>83</v>
      </c>
      <c r="D17" s="117"/>
      <c r="E17" s="118" t="s">
        <v>83</v>
      </c>
      <c r="F17" s="118" t="s">
        <v>84</v>
      </c>
      <c r="G17" s="119" t="s">
        <v>85</v>
      </c>
      <c r="H17" s="118" t="s">
        <v>86</v>
      </c>
      <c r="I17" s="118"/>
      <c r="J17" s="121" t="s">
        <v>9</v>
      </c>
      <c r="K17" s="121"/>
      <c r="L17" s="121"/>
      <c r="M17" s="114"/>
    </row>
    <row r="18" customFormat="false" ht="14.25" hidden="false" customHeight="false" outlineLevel="0" collapsed="false">
      <c r="B18" s="116"/>
      <c r="C18" s="117"/>
      <c r="D18" s="117"/>
      <c r="E18" s="118"/>
      <c r="F18" s="118"/>
      <c r="G18" s="118" t="s">
        <v>87</v>
      </c>
      <c r="H18" s="118" t="s">
        <v>87</v>
      </c>
      <c r="I18" s="118" t="s">
        <v>84</v>
      </c>
      <c r="J18" s="122" t="s">
        <v>87</v>
      </c>
      <c r="K18" s="122" t="s">
        <v>87</v>
      </c>
      <c r="L18" s="121" t="s">
        <v>84</v>
      </c>
      <c r="M18" s="114"/>
    </row>
    <row r="19" customFormat="false" ht="16.5" hidden="false" customHeight="true" outlineLevel="0" collapsed="false">
      <c r="B19" s="116"/>
      <c r="C19" s="123" t="s">
        <v>88</v>
      </c>
      <c r="D19" s="124" t="s">
        <v>89</v>
      </c>
      <c r="E19" s="125" t="s">
        <v>90</v>
      </c>
      <c r="F19" s="126" t="n">
        <v>6</v>
      </c>
      <c r="G19" s="127" t="n">
        <f aca="false">'SEMESTRE N°5'!H13</f>
        <v>7</v>
      </c>
      <c r="H19" s="128" t="n">
        <f aca="false">IF(AND(G19&gt;=8, G20&gt;=8), ROUND(((F19*G19) + (F20*G20)) / (F19 + F20), 2), 0)</f>
        <v>0</v>
      </c>
      <c r="I19" s="128" t="n">
        <f aca="false">IF(H19&gt;9.99,(F19+F20),0)</f>
        <v>0</v>
      </c>
      <c r="J19" s="129"/>
      <c r="K19" s="129"/>
      <c r="L19" s="129"/>
      <c r="M19" s="128" t="str">
        <f aca="false">IF(H19&gt;9.99,"Validé","Non validé")</f>
        <v>Non validé</v>
      </c>
    </row>
    <row r="20" customFormat="false" ht="16.5" hidden="false" customHeight="true" outlineLevel="0" collapsed="false">
      <c r="B20" s="116"/>
      <c r="C20" s="123"/>
      <c r="D20" s="124"/>
      <c r="E20" s="134" t="s">
        <v>91</v>
      </c>
      <c r="F20" s="126" t="n">
        <v>3</v>
      </c>
      <c r="G20" s="127" t="n">
        <f aca="false">'SEMESTRE N°5'!L13</f>
        <v>13.1</v>
      </c>
      <c r="H20" s="128"/>
      <c r="I20" s="128"/>
      <c r="J20" s="132"/>
      <c r="K20" s="129"/>
      <c r="L20" s="129"/>
      <c r="M20" s="128"/>
    </row>
    <row r="21" customFormat="false" ht="16.5" hidden="false" customHeight="true" outlineLevel="0" collapsed="false">
      <c r="B21" s="116"/>
      <c r="C21" s="133" t="s">
        <v>92</v>
      </c>
      <c r="D21" s="124" t="s">
        <v>93</v>
      </c>
      <c r="E21" s="134" t="s">
        <v>12</v>
      </c>
      <c r="F21" s="126" t="n">
        <v>2</v>
      </c>
      <c r="G21" s="127" t="n">
        <f aca="false">'SEMESTRE N°5'!P13</f>
        <v>10.2</v>
      </c>
      <c r="H21" s="128" t="n">
        <f aca="false">IF(AND(G21&gt;=8, G22&gt;=8), ROUND(((F21*G21) + (F22*G22)) / (F21 + F22), 2), 0)</f>
        <v>11.34</v>
      </c>
      <c r="I21" s="128" t="n">
        <f aca="false">IF(H21&gt;9.99,(F21+F22),0)</f>
        <v>5</v>
      </c>
      <c r="J21" s="132"/>
      <c r="K21" s="132"/>
      <c r="L21" s="132"/>
      <c r="M21" s="128" t="str">
        <f aca="false">IF(H21&gt;9.99,"Validé","Non validé")</f>
        <v>Validé</v>
      </c>
    </row>
    <row r="22" customFormat="false" ht="16.5" hidden="false" customHeight="true" outlineLevel="0" collapsed="false">
      <c r="B22" s="116"/>
      <c r="C22" s="133"/>
      <c r="D22" s="124"/>
      <c r="E22" s="134" t="s">
        <v>13</v>
      </c>
      <c r="F22" s="126" t="n">
        <v>3</v>
      </c>
      <c r="G22" s="127" t="n">
        <f aca="false">'SEMESTRE N°5'!T13</f>
        <v>12.1</v>
      </c>
      <c r="H22" s="128"/>
      <c r="I22" s="128"/>
      <c r="J22" s="132"/>
      <c r="K22" s="132"/>
      <c r="L22" s="132"/>
      <c r="M22" s="128"/>
    </row>
    <row r="23" customFormat="false" ht="16.5" hidden="false" customHeight="true" outlineLevel="0" collapsed="false">
      <c r="B23" s="116"/>
      <c r="C23" s="133" t="s">
        <v>94</v>
      </c>
      <c r="D23" s="196" t="s">
        <v>95</v>
      </c>
      <c r="E23" s="136" t="s">
        <v>14</v>
      </c>
      <c r="F23" s="126" t="n">
        <v>2</v>
      </c>
      <c r="G23" s="127" t="n">
        <f aca="false">'SEMESTRE N°5'!X13</f>
        <v>12.85</v>
      </c>
      <c r="H23" s="197" t="n">
        <f aca="false">IF(AND(G23&gt;=8, G25&gt;=8, G24&gt;=8), ROUND(((F23*G23) + (F25*G25)+ (F24*G24)) / (F23 + F25 + F24), 2), 0)</f>
        <v>12</v>
      </c>
      <c r="I23" s="128" t="n">
        <f aca="false">IF(H23&gt;9.99,(F23+F25+F24),0)</f>
        <v>8</v>
      </c>
      <c r="J23" s="132"/>
      <c r="K23" s="132"/>
      <c r="L23" s="132"/>
      <c r="M23" s="128" t="str">
        <f aca="false">IF(H23&gt;9.99,"Validé","Non validé")</f>
        <v>Validé</v>
      </c>
    </row>
    <row r="24" customFormat="false" ht="16.5" hidden="false" customHeight="true" outlineLevel="0" collapsed="false">
      <c r="B24" s="116"/>
      <c r="C24" s="133"/>
      <c r="D24" s="196"/>
      <c r="E24" s="136" t="s">
        <v>15</v>
      </c>
      <c r="F24" s="137" t="n">
        <v>3</v>
      </c>
      <c r="G24" s="138" t="n">
        <f aca="false">'SEMESTRE N°5'!AB13</f>
        <v>11.164</v>
      </c>
      <c r="H24" s="197"/>
      <c r="I24" s="128"/>
      <c r="J24" s="132"/>
      <c r="K24" s="132"/>
      <c r="L24" s="132"/>
      <c r="M24" s="128"/>
    </row>
    <row r="25" customFormat="false" ht="16.5" hidden="false" customHeight="true" outlineLevel="0" collapsed="false">
      <c r="B25" s="116"/>
      <c r="C25" s="133"/>
      <c r="D25" s="196"/>
      <c r="E25" s="136" t="s">
        <v>16</v>
      </c>
      <c r="F25" s="126" t="n">
        <v>3</v>
      </c>
      <c r="G25" s="127" t="n">
        <f aca="false">'SEMESTRE N°5'!AF13</f>
        <v>12.282</v>
      </c>
      <c r="H25" s="197"/>
      <c r="I25" s="128"/>
      <c r="J25" s="132"/>
      <c r="K25" s="132"/>
      <c r="L25" s="132"/>
      <c r="M25" s="128"/>
    </row>
    <row r="26" customFormat="false" ht="16.5" hidden="false" customHeight="true" outlineLevel="0" collapsed="false">
      <c r="B26" s="116"/>
      <c r="C26" s="139" t="s">
        <v>96</v>
      </c>
      <c r="D26" s="140" t="s">
        <v>97</v>
      </c>
      <c r="E26" s="141" t="s">
        <v>98</v>
      </c>
      <c r="F26" s="142" t="n">
        <v>3</v>
      </c>
      <c r="G26" s="138" t="n">
        <f aca="false">'SEMESTRE N°5'!AJ13</f>
        <v>9.3</v>
      </c>
      <c r="H26" s="128" t="n">
        <f aca="false">IF(AND(G26&gt;=8, G28&gt;=8, G27&gt;=8), ROUND(((F26*G26) + (F28*G28)+ (F27*G27)) / (F26 + F28 + F27), 2), 0)</f>
        <v>0</v>
      </c>
      <c r="I26" s="128" t="n">
        <f aca="false">IF(H26&gt;9.99,(F26+F27+F28),0)</f>
        <v>0</v>
      </c>
      <c r="J26" s="132"/>
      <c r="K26" s="132"/>
      <c r="L26" s="143"/>
      <c r="M26" s="128" t="str">
        <f aca="false">IF(H26&gt;9.99,"Validé","Non validé")</f>
        <v>Non validé</v>
      </c>
    </row>
    <row r="27" customFormat="false" ht="16.5" hidden="false" customHeight="true" outlineLevel="0" collapsed="false">
      <c r="B27" s="116"/>
      <c r="C27" s="139"/>
      <c r="D27" s="140"/>
      <c r="E27" s="134" t="s">
        <v>99</v>
      </c>
      <c r="F27" s="126" t="n">
        <v>3</v>
      </c>
      <c r="G27" s="127" t="n">
        <f aca="false">'SEMESTRE N°5'!AN13</f>
        <v>14.2</v>
      </c>
      <c r="H27" s="128"/>
      <c r="I27" s="128"/>
      <c r="J27" s="132"/>
      <c r="K27" s="132"/>
      <c r="L27" s="132"/>
      <c r="M27" s="128"/>
    </row>
    <row r="28" customFormat="false" ht="16.5" hidden="false" customHeight="true" outlineLevel="0" collapsed="false">
      <c r="B28" s="116"/>
      <c r="C28" s="139"/>
      <c r="D28" s="140"/>
      <c r="E28" s="134" t="s">
        <v>100</v>
      </c>
      <c r="F28" s="126" t="n">
        <v>2</v>
      </c>
      <c r="G28" s="127" t="n">
        <f aca="false">'SEMESTRE N°5'!AR13</f>
        <v>4.3</v>
      </c>
      <c r="H28" s="128"/>
      <c r="I28" s="128"/>
      <c r="J28" s="132"/>
      <c r="K28" s="132"/>
      <c r="L28" s="143"/>
      <c r="M28" s="128"/>
    </row>
    <row r="29" customFormat="false" ht="19.5" hidden="false" customHeight="true" outlineLevel="0" collapsed="false">
      <c r="B29" s="116"/>
      <c r="C29" s="144" t="s">
        <v>101</v>
      </c>
      <c r="D29" s="144"/>
      <c r="E29" s="144"/>
      <c r="F29" s="145" t="n">
        <f aca="false">SUM(F19:F28)</f>
        <v>30</v>
      </c>
      <c r="G29" s="180"/>
      <c r="H29" s="128" t="n">
        <f aca="false">ROUND((H19+H21+H23+H26)/4,2)</f>
        <v>5.84</v>
      </c>
      <c r="I29" s="181" t="n">
        <f aca="false">SUM(I19:I28)</f>
        <v>13</v>
      </c>
      <c r="J29" s="182"/>
      <c r="K29" s="182"/>
      <c r="L29" s="182"/>
      <c r="M29" s="182"/>
    </row>
    <row r="30" customFormat="false" ht="12" hidden="false" customHeight="true" outlineLevel="0" collapsed="false">
      <c r="C30" s="149"/>
      <c r="G30" s="149"/>
    </row>
    <row r="31" customFormat="false" ht="16.5" hidden="false" customHeight="true" outlineLevel="0" collapsed="false">
      <c r="A31" s="150"/>
      <c r="B31" s="198" t="s">
        <v>102</v>
      </c>
      <c r="C31" s="198"/>
      <c r="D31" s="152" t="n">
        <f aca="false">SUM(I19:I28)</f>
        <v>13</v>
      </c>
      <c r="E31" s="153"/>
      <c r="F31" s="154"/>
      <c r="G31" s="155"/>
      <c r="H31" s="156"/>
      <c r="I31" s="156"/>
      <c r="K31" s="184" t="s">
        <v>103</v>
      </c>
      <c r="L31" s="184"/>
    </row>
    <row r="32" customFormat="false" ht="16.5" hidden="false" customHeight="true" outlineLevel="0" collapsed="false">
      <c r="A32" s="150"/>
      <c r="B32" s="198" t="s">
        <v>104</v>
      </c>
      <c r="C32" s="198"/>
      <c r="D32" s="158" t="str">
        <f aca="false">IF(D31=F29,"Semestre validé","Semestre non validé")</f>
        <v>Semestre non validé</v>
      </c>
      <c r="E32" s="154"/>
      <c r="F32" s="154"/>
      <c r="G32" s="159"/>
      <c r="K32" s="160"/>
      <c r="L32" s="154"/>
    </row>
    <row r="33" customFormat="false" ht="16.5" hidden="false" customHeight="true" outlineLevel="0" collapsed="false">
      <c r="A33" s="150"/>
      <c r="B33" s="198" t="s">
        <v>105</v>
      </c>
      <c r="C33" s="198"/>
      <c r="D33" s="161" t="n">
        <v>0</v>
      </c>
      <c r="E33" s="154"/>
      <c r="F33" s="154"/>
      <c r="G33" s="159"/>
      <c r="H33" s="154"/>
      <c r="I33" s="154"/>
      <c r="J33" s="154"/>
    </row>
    <row r="34" customFormat="false" ht="16.5" hidden="false" customHeight="true" outlineLevel="0" collapsed="false">
      <c r="B34" s="162"/>
      <c r="C34" s="162"/>
      <c r="D34" s="161"/>
      <c r="E34" s="154"/>
      <c r="F34" s="154"/>
      <c r="G34" s="159"/>
      <c r="H34" s="154"/>
      <c r="I34" s="154"/>
      <c r="J34" s="154"/>
    </row>
    <row r="35" customFormat="false" ht="16.5" hidden="false" customHeight="true" outlineLevel="0" collapsed="false">
      <c r="C35" s="149"/>
      <c r="H35" s="164" t="s">
        <v>106</v>
      </c>
      <c r="I35" s="164"/>
      <c r="J35" s="164"/>
      <c r="K35" s="164"/>
      <c r="L35" s="164"/>
      <c r="M35" s="164"/>
    </row>
    <row r="36" customFormat="false" ht="16.5" hidden="false" customHeight="true" outlineLevel="0" collapsed="false">
      <c r="B36" s="199" t="s">
        <v>107</v>
      </c>
      <c r="C36" s="199"/>
      <c r="D36" s="199"/>
      <c r="E36" s="199"/>
      <c r="F36" s="199"/>
      <c r="G36" s="199"/>
      <c r="H36" s="199"/>
      <c r="I36" s="199"/>
      <c r="J36" s="199"/>
      <c r="K36" s="199"/>
      <c r="L36" s="199"/>
      <c r="M36" s="199"/>
    </row>
    <row r="37" customFormat="false" ht="11.25" hidden="false" customHeight="true" outlineLevel="0" collapsed="false">
      <c r="B37" s="199"/>
      <c r="C37" s="199"/>
      <c r="D37" s="199"/>
      <c r="E37" s="199"/>
      <c r="F37" s="199"/>
      <c r="G37" s="199"/>
      <c r="H37" s="199"/>
      <c r="I37" s="199"/>
      <c r="J37" s="199"/>
      <c r="K37" s="199"/>
      <c r="L37" s="199"/>
      <c r="M37" s="199"/>
    </row>
    <row r="41" customFormat="false" ht="12.75" hidden="false" customHeight="true" outlineLevel="0" collapsed="false"/>
    <row r="42" customFormat="false" ht="12.75" hidden="true" customHeight="true" outlineLevel="0" collapsed="false">
      <c r="A42" s="2" t="s">
        <v>112</v>
      </c>
    </row>
    <row r="43" customFormat="false" ht="14.25" hidden="true" customHeight="false" outlineLevel="0" collapsed="false">
      <c r="A43" s="97" t="s">
        <v>116</v>
      </c>
    </row>
  </sheetData>
  <mergeCells count="57">
    <mergeCell ref="E5:M8"/>
    <mergeCell ref="B9:M9"/>
    <mergeCell ref="C11:E11"/>
    <mergeCell ref="G11:L11"/>
    <mergeCell ref="B12:C12"/>
    <mergeCell ref="D12:E12"/>
    <mergeCell ref="G12:L12"/>
    <mergeCell ref="C13:E13"/>
    <mergeCell ref="G13:L13"/>
    <mergeCell ref="C14:E14"/>
    <mergeCell ref="G14:L14"/>
    <mergeCell ref="B15:D16"/>
    <mergeCell ref="E15:F16"/>
    <mergeCell ref="G15:M15"/>
    <mergeCell ref="G16:I16"/>
    <mergeCell ref="J16:L16"/>
    <mergeCell ref="M16:M18"/>
    <mergeCell ref="B17:B29"/>
    <mergeCell ref="C17:D18"/>
    <mergeCell ref="E17:E18"/>
    <mergeCell ref="F17:F18"/>
    <mergeCell ref="H17:I17"/>
    <mergeCell ref="J17:L17"/>
    <mergeCell ref="C19:C20"/>
    <mergeCell ref="D19:D20"/>
    <mergeCell ref="H19:H20"/>
    <mergeCell ref="I19:I20"/>
    <mergeCell ref="K19:K20"/>
    <mergeCell ref="L19:L20"/>
    <mergeCell ref="M19:M20"/>
    <mergeCell ref="C21:C22"/>
    <mergeCell ref="D21:D22"/>
    <mergeCell ref="H21:H22"/>
    <mergeCell ref="I21:I22"/>
    <mergeCell ref="K21:K22"/>
    <mergeCell ref="L21:L22"/>
    <mergeCell ref="M21:M22"/>
    <mergeCell ref="C23:C25"/>
    <mergeCell ref="D23:D25"/>
    <mergeCell ref="H23:H25"/>
    <mergeCell ref="I23:I25"/>
    <mergeCell ref="K23:K25"/>
    <mergeCell ref="L23:L25"/>
    <mergeCell ref="M23:M25"/>
    <mergeCell ref="C26:C28"/>
    <mergeCell ref="D26:D28"/>
    <mergeCell ref="H26:H28"/>
    <mergeCell ref="I26:I28"/>
    <mergeCell ref="K26:K28"/>
    <mergeCell ref="L26:L28"/>
    <mergeCell ref="M26:M28"/>
    <mergeCell ref="C29:E29"/>
    <mergeCell ref="J29:M29"/>
    <mergeCell ref="B31:C31"/>
    <mergeCell ref="B32:C32"/>
    <mergeCell ref="B33:C33"/>
    <mergeCell ref="B36:M37"/>
  </mergeCells>
  <printOptions headings="false" gridLines="false" gridLinesSet="true" horizontalCentered="false" verticalCentered="false"/>
  <pageMargins left="0" right="0" top="0" bottom="0" header="0.511811023622047" footer="0.511811023622047"/>
  <pageSetup paperSize="9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7030A0"/>
    <pageSetUpPr fitToPage="false"/>
  </sheetPr>
  <dimension ref="A4:N44"/>
  <sheetViews>
    <sheetView showFormulas="false" showGridLines="false" showRowColHeaders="true" showZeros="true" rightToLeft="false" tabSelected="false" showOutlineSymbols="true" defaultGridColor="true" view="normal" topLeftCell="A10" colorId="64" zoomScale="100" zoomScaleNormal="100" zoomScalePageLayoutView="100" workbookViewId="0">
      <selection pane="topLeft" activeCell="G28" activeCellId="0" sqref="G28"/>
    </sheetView>
  </sheetViews>
  <sheetFormatPr defaultColWidth="10.890625" defaultRowHeight="14.25" customHeight="false" zeroHeight="false" outlineLevelRow="0" outlineLevelCol="0"/>
  <cols>
    <col collapsed="false" customWidth="true" hidden="false" outlineLevel="0" max="1" min="1" style="97" width="4.67"/>
    <col collapsed="false" customWidth="false" hidden="false" outlineLevel="0" max="2" min="2" style="97" width="10.89"/>
    <col collapsed="false" customWidth="true" hidden="false" outlineLevel="0" max="3" min="3" style="97" width="10.67"/>
    <col collapsed="false" customWidth="true" hidden="false" outlineLevel="0" max="4" min="4" style="97" width="20"/>
    <col collapsed="false" customWidth="true" hidden="false" outlineLevel="0" max="5" min="5" style="97" width="27.45"/>
    <col collapsed="false" customWidth="true" hidden="false" outlineLevel="0" max="6" min="6" style="97" width="11.45"/>
    <col collapsed="false" customWidth="true" hidden="false" outlineLevel="0" max="9" min="7" style="97" width="7.67"/>
    <col collapsed="false" customWidth="true" hidden="false" outlineLevel="0" max="10" min="10" style="97" width="7.89"/>
    <col collapsed="false" customWidth="true" hidden="false" outlineLevel="0" max="11" min="11" style="97" width="7"/>
    <col collapsed="false" customWidth="true" hidden="false" outlineLevel="0" max="12" min="12" style="97" width="8.33"/>
    <col collapsed="false" customWidth="true" hidden="false" outlineLevel="0" max="13" min="13" style="97" width="11.55"/>
    <col collapsed="false" customWidth="true" hidden="false" outlineLevel="0" max="14" min="14" style="97" width="4.11"/>
    <col collapsed="false" customWidth="false" hidden="false" outlineLevel="0" max="16384" min="15" style="97" width="10.89"/>
  </cols>
  <sheetData>
    <row r="4" customFormat="false" ht="14.25" hidden="false" customHeight="false" outlineLevel="0" collapsed="false">
      <c r="E4" s="195"/>
      <c r="F4" s="195"/>
      <c r="G4" s="195"/>
      <c r="H4" s="195"/>
      <c r="I4" s="195"/>
      <c r="J4" s="195"/>
      <c r="K4" s="195"/>
      <c r="L4" s="195"/>
      <c r="M4" s="195"/>
    </row>
    <row r="5" customFormat="false" ht="14.25" hidden="false" customHeight="true" outlineLevel="0" collapsed="false">
      <c r="E5" s="186" t="s">
        <v>110</v>
      </c>
      <c r="F5" s="186"/>
      <c r="G5" s="186"/>
      <c r="H5" s="186"/>
      <c r="I5" s="186"/>
      <c r="J5" s="186"/>
      <c r="K5" s="186"/>
      <c r="L5" s="186"/>
      <c r="M5" s="186"/>
    </row>
    <row r="6" customFormat="false" ht="14.25" hidden="false" customHeight="false" outlineLevel="0" collapsed="false">
      <c r="E6" s="186"/>
      <c r="F6" s="186"/>
      <c r="G6" s="186"/>
      <c r="H6" s="186"/>
      <c r="I6" s="186"/>
      <c r="J6" s="186"/>
      <c r="K6" s="186"/>
      <c r="L6" s="186"/>
      <c r="M6" s="186"/>
    </row>
    <row r="7" customFormat="false" ht="14.25" hidden="false" customHeight="false" outlineLevel="0" collapsed="false">
      <c r="E7" s="186"/>
      <c r="F7" s="186"/>
      <c r="G7" s="186"/>
      <c r="H7" s="186"/>
      <c r="I7" s="186"/>
      <c r="J7" s="186"/>
      <c r="K7" s="186"/>
      <c r="L7" s="186"/>
      <c r="M7" s="186"/>
    </row>
    <row r="8" customFormat="false" ht="14.25" hidden="false" customHeight="false" outlineLevel="0" collapsed="false">
      <c r="E8" s="186"/>
      <c r="F8" s="186"/>
      <c r="G8" s="186"/>
      <c r="H8" s="186"/>
      <c r="I8" s="186"/>
      <c r="J8" s="186"/>
      <c r="K8" s="186"/>
      <c r="L8" s="186"/>
      <c r="M8" s="186"/>
    </row>
    <row r="9" customFormat="false" ht="18" hidden="false" customHeight="true" outlineLevel="0" collapsed="false">
      <c r="A9" s="99"/>
      <c r="B9" s="100" t="s">
        <v>64</v>
      </c>
      <c r="C9" s="100"/>
      <c r="D9" s="100"/>
      <c r="E9" s="100"/>
      <c r="F9" s="100"/>
      <c r="G9" s="100"/>
      <c r="H9" s="100"/>
      <c r="I9" s="100"/>
      <c r="J9" s="100"/>
      <c r="K9" s="100"/>
      <c r="L9" s="100"/>
      <c r="M9" s="100"/>
      <c r="N9" s="99"/>
    </row>
    <row r="10" customFormat="false" ht="11.25" hidden="false" customHeight="true" outlineLevel="0" collapsed="false">
      <c r="B10" s="101"/>
      <c r="C10" s="101"/>
      <c r="D10" s="101"/>
      <c r="E10" s="101"/>
      <c r="F10" s="101"/>
      <c r="G10" s="101"/>
      <c r="H10" s="101"/>
      <c r="I10" s="101"/>
      <c r="J10" s="101"/>
      <c r="K10" s="101"/>
      <c r="L10" s="101"/>
    </row>
    <row r="11" customFormat="false" ht="16.5" hidden="false" customHeight="true" outlineLevel="0" collapsed="false">
      <c r="B11" s="103" t="s">
        <v>65</v>
      </c>
      <c r="C11" s="108" t="str">
        <f aca="false">'SEMESTRE N°5'!A14</f>
        <v>OTSAGHE Joseph Alexandre</v>
      </c>
      <c r="D11" s="108"/>
      <c r="E11" s="108"/>
      <c r="F11" s="103" t="s">
        <v>66</v>
      </c>
      <c r="G11" s="105" t="s">
        <v>67</v>
      </c>
      <c r="H11" s="105"/>
      <c r="I11" s="105"/>
      <c r="J11" s="105"/>
      <c r="K11" s="105"/>
      <c r="L11" s="105"/>
    </row>
    <row r="12" customFormat="false" ht="16.5" hidden="false" customHeight="true" outlineLevel="0" collapsed="false">
      <c r="B12" s="106" t="s">
        <v>68</v>
      </c>
      <c r="C12" s="106"/>
      <c r="D12" s="166" t="str">
        <f aca="false">'SEMESTRE N°5'!B14</f>
        <v>21/11/1999</v>
      </c>
      <c r="E12" s="166"/>
      <c r="F12" s="103" t="s">
        <v>69</v>
      </c>
      <c r="G12" s="167" t="s">
        <v>117</v>
      </c>
      <c r="H12" s="167"/>
      <c r="I12" s="167"/>
      <c r="J12" s="167"/>
      <c r="K12" s="167"/>
      <c r="L12" s="167"/>
    </row>
    <row r="13" customFormat="false" ht="16.5" hidden="false" customHeight="true" outlineLevel="0" collapsed="false">
      <c r="B13" s="103" t="s">
        <v>71</v>
      </c>
      <c r="C13" s="108" t="str">
        <f aca="false">'SEMESTRE N°5'!C14</f>
        <v>Gabonaise</v>
      </c>
      <c r="D13" s="108"/>
      <c r="E13" s="108"/>
      <c r="F13" s="103" t="s">
        <v>72</v>
      </c>
      <c r="G13" s="167" t="s">
        <v>109</v>
      </c>
      <c r="H13" s="167"/>
      <c r="I13" s="167"/>
      <c r="J13" s="167"/>
      <c r="K13" s="167"/>
      <c r="L13" s="167"/>
    </row>
    <row r="14" customFormat="false" ht="16.5" hidden="false" customHeight="true" outlineLevel="0" collapsed="false">
      <c r="B14" s="103" t="s">
        <v>73</v>
      </c>
      <c r="C14" s="105" t="n">
        <f aca="false">'SEMESTRE N°5'!D14</f>
        <v>342024</v>
      </c>
      <c r="D14" s="105"/>
      <c r="E14" s="105"/>
      <c r="F14" s="103" t="s">
        <v>74</v>
      </c>
      <c r="G14" s="168"/>
      <c r="H14" s="168"/>
      <c r="I14" s="168"/>
      <c r="J14" s="168"/>
      <c r="K14" s="168"/>
      <c r="L14" s="168"/>
    </row>
    <row r="15" customFormat="false" ht="14.25" hidden="false" customHeight="false" outlineLevel="0" collapsed="false">
      <c r="B15" s="110" t="s">
        <v>76</v>
      </c>
      <c r="C15" s="110"/>
      <c r="D15" s="110"/>
      <c r="E15" s="111" t="s">
        <v>77</v>
      </c>
      <c r="F15" s="111"/>
      <c r="G15" s="112" t="s">
        <v>78</v>
      </c>
      <c r="H15" s="112"/>
      <c r="I15" s="112"/>
      <c r="J15" s="112"/>
      <c r="K15" s="112"/>
      <c r="L15" s="112"/>
      <c r="M15" s="112"/>
    </row>
    <row r="16" customFormat="false" ht="14.25" hidden="false" customHeight="false" outlineLevel="0" collapsed="false">
      <c r="B16" s="110"/>
      <c r="C16" s="110"/>
      <c r="D16" s="110"/>
      <c r="E16" s="111"/>
      <c r="F16" s="111"/>
      <c r="G16" s="112" t="s">
        <v>79</v>
      </c>
      <c r="H16" s="112"/>
      <c r="I16" s="112"/>
      <c r="J16" s="200" t="s">
        <v>80</v>
      </c>
      <c r="K16" s="200"/>
      <c r="L16" s="200"/>
      <c r="M16" s="201" t="s">
        <v>81</v>
      </c>
    </row>
    <row r="17" customFormat="false" ht="14.25" hidden="false" customHeight="false" outlineLevel="0" collapsed="false">
      <c r="B17" s="116" t="s">
        <v>82</v>
      </c>
      <c r="C17" s="117" t="s">
        <v>83</v>
      </c>
      <c r="D17" s="117"/>
      <c r="E17" s="118" t="s">
        <v>83</v>
      </c>
      <c r="F17" s="118" t="s">
        <v>84</v>
      </c>
      <c r="G17" s="119" t="s">
        <v>85</v>
      </c>
      <c r="H17" s="118" t="s">
        <v>86</v>
      </c>
      <c r="I17" s="118"/>
      <c r="J17" s="202" t="s">
        <v>9</v>
      </c>
      <c r="K17" s="202"/>
      <c r="L17" s="202"/>
      <c r="M17" s="201"/>
    </row>
    <row r="18" customFormat="false" ht="14.25" hidden="false" customHeight="false" outlineLevel="0" collapsed="false">
      <c r="B18" s="116"/>
      <c r="C18" s="117"/>
      <c r="D18" s="117"/>
      <c r="E18" s="118"/>
      <c r="F18" s="118"/>
      <c r="G18" s="118" t="s">
        <v>87</v>
      </c>
      <c r="H18" s="118" t="s">
        <v>87</v>
      </c>
      <c r="I18" s="118" t="s">
        <v>84</v>
      </c>
      <c r="J18" s="122" t="s">
        <v>87</v>
      </c>
      <c r="K18" s="122" t="s">
        <v>87</v>
      </c>
      <c r="L18" s="202" t="s">
        <v>84</v>
      </c>
      <c r="M18" s="201"/>
    </row>
    <row r="19" customFormat="false" ht="14.25" hidden="false" customHeight="true" outlineLevel="0" collapsed="false">
      <c r="B19" s="116"/>
      <c r="C19" s="123" t="s">
        <v>88</v>
      </c>
      <c r="D19" s="124" t="s">
        <v>89</v>
      </c>
      <c r="E19" s="190" t="s">
        <v>90</v>
      </c>
      <c r="F19" s="126" t="n">
        <v>6</v>
      </c>
      <c r="G19" s="127" t="n">
        <f aca="false">'SEMESTRE N°5'!H14</f>
        <v>1.6</v>
      </c>
      <c r="H19" s="128" t="n">
        <f aca="false">IF(AND(G19&gt;=8, G20&gt;=8), ROUND(((F19*G19) + (F20*G20)) / (F19 + F20), 2), 0)</f>
        <v>0</v>
      </c>
      <c r="I19" s="128" t="n">
        <f aca="false">IF(H19&gt;9.99,(F19+F20),0)</f>
        <v>0</v>
      </c>
      <c r="J19" s="129"/>
      <c r="K19" s="129"/>
      <c r="L19" s="129"/>
      <c r="M19" s="203" t="str">
        <f aca="false">IF(H19&gt;9.99,"Validé","Non validé")</f>
        <v>Non validé</v>
      </c>
    </row>
    <row r="20" customFormat="false" ht="14.25" hidden="false" customHeight="false" outlineLevel="0" collapsed="false">
      <c r="B20" s="116"/>
      <c r="C20" s="123"/>
      <c r="D20" s="124"/>
      <c r="E20" s="134" t="s">
        <v>91</v>
      </c>
      <c r="F20" s="126" t="n">
        <v>3</v>
      </c>
      <c r="G20" s="127" t="n">
        <f aca="false">'SEMESTRE N°5'!L14</f>
        <v>11.3</v>
      </c>
      <c r="H20" s="128"/>
      <c r="I20" s="128"/>
      <c r="J20" s="132"/>
      <c r="K20" s="129"/>
      <c r="L20" s="129"/>
      <c r="M20" s="203"/>
    </row>
    <row r="21" customFormat="false" ht="14.25" hidden="false" customHeight="true" outlineLevel="0" collapsed="false">
      <c r="B21" s="116"/>
      <c r="C21" s="133" t="s">
        <v>92</v>
      </c>
      <c r="D21" s="124" t="s">
        <v>93</v>
      </c>
      <c r="E21" s="134" t="s">
        <v>12</v>
      </c>
      <c r="F21" s="142" t="n">
        <v>2</v>
      </c>
      <c r="G21" s="138" t="n">
        <f aca="false">'SEMESTRE N°5'!P14</f>
        <v>10.6</v>
      </c>
      <c r="H21" s="128" t="n">
        <f aca="false">IF(AND(G21&gt;=8, G22&gt;=8), ROUND(((F21*G21) + (F22*G22)) / (F21 + F22), 2), 0)</f>
        <v>11.86</v>
      </c>
      <c r="I21" s="128" t="n">
        <f aca="false">IF(H21&gt;9.99,(F21+F22),0)</f>
        <v>5</v>
      </c>
      <c r="J21" s="132"/>
      <c r="K21" s="132"/>
      <c r="L21" s="132"/>
      <c r="M21" s="128" t="str">
        <f aca="false">IF(H21&gt;9.99,"Validé","Non validé")</f>
        <v>Validé</v>
      </c>
    </row>
    <row r="22" customFormat="false" ht="14.25" hidden="false" customHeight="false" outlineLevel="0" collapsed="false">
      <c r="B22" s="116"/>
      <c r="C22" s="133"/>
      <c r="D22" s="124"/>
      <c r="E22" s="134" t="s">
        <v>13</v>
      </c>
      <c r="F22" s="126" t="n">
        <v>3</v>
      </c>
      <c r="G22" s="127" t="n">
        <f aca="false">'SEMESTRE N°5'!T14</f>
        <v>12.7</v>
      </c>
      <c r="H22" s="128"/>
      <c r="I22" s="128"/>
      <c r="J22" s="132"/>
      <c r="K22" s="132"/>
      <c r="L22" s="132"/>
      <c r="M22" s="128"/>
    </row>
    <row r="23" customFormat="false" ht="14.25" hidden="false" customHeight="true" outlineLevel="0" collapsed="false">
      <c r="B23" s="116"/>
      <c r="C23" s="133" t="s">
        <v>94</v>
      </c>
      <c r="D23" s="196" t="s">
        <v>95</v>
      </c>
      <c r="E23" s="136" t="s">
        <v>14</v>
      </c>
      <c r="F23" s="126" t="n">
        <v>2</v>
      </c>
      <c r="G23" s="127" t="n">
        <f aca="false">'SEMESTRE N°5'!X14</f>
        <v>13.45</v>
      </c>
      <c r="H23" s="128" t="n">
        <f aca="false">IF(AND(G23&gt;=8, G25&gt;=8, G24&gt;=8), ROUND(((F23*G23) + (F25*G25)+ (F24*G24)) / (F23 + F25 + F24), 2), 0)</f>
        <v>0</v>
      </c>
      <c r="I23" s="128" t="n">
        <f aca="false">IF(H23&gt;9.99,(F23+F25+F24),0)</f>
        <v>0</v>
      </c>
      <c r="J23" s="132"/>
      <c r="K23" s="132"/>
      <c r="L23" s="132"/>
      <c r="M23" s="128" t="str">
        <f aca="false">IF(H23&gt;9.99,"Validé","Non validé")</f>
        <v>Non validé</v>
      </c>
    </row>
    <row r="24" customFormat="false" ht="14.25" hidden="false" customHeight="false" outlineLevel="0" collapsed="false">
      <c r="B24" s="116"/>
      <c r="C24" s="133"/>
      <c r="D24" s="196"/>
      <c r="E24" s="136" t="s">
        <v>15</v>
      </c>
      <c r="F24" s="137" t="n">
        <v>3</v>
      </c>
      <c r="G24" s="138" t="n">
        <f aca="false">'SEMESTRE N°5'!AB14</f>
        <v>7.214</v>
      </c>
      <c r="H24" s="128"/>
      <c r="I24" s="128"/>
      <c r="J24" s="132"/>
      <c r="K24" s="132"/>
      <c r="L24" s="132"/>
      <c r="M24" s="128"/>
    </row>
    <row r="25" customFormat="false" ht="14.25" hidden="false" customHeight="false" outlineLevel="0" collapsed="false">
      <c r="B25" s="116"/>
      <c r="C25" s="133"/>
      <c r="D25" s="196"/>
      <c r="E25" s="136" t="s">
        <v>16</v>
      </c>
      <c r="F25" s="126" t="n">
        <v>3</v>
      </c>
      <c r="G25" s="127" t="n">
        <f aca="false">'SEMESTRE N°5'!AF14</f>
        <v>11.864</v>
      </c>
      <c r="H25" s="128"/>
      <c r="I25" s="128"/>
      <c r="J25" s="132"/>
      <c r="K25" s="132"/>
      <c r="L25" s="132"/>
      <c r="M25" s="128"/>
    </row>
    <row r="26" customFormat="false" ht="16.5" hidden="false" customHeight="true" outlineLevel="0" collapsed="false">
      <c r="B26" s="116"/>
      <c r="C26" s="204" t="s">
        <v>96</v>
      </c>
      <c r="D26" s="140" t="s">
        <v>97</v>
      </c>
      <c r="E26" s="141" t="s">
        <v>98</v>
      </c>
      <c r="F26" s="142" t="n">
        <v>3</v>
      </c>
      <c r="G26" s="138" t="n">
        <f aca="false">'SEMESTRE N°5'!AJ14</f>
        <v>10.3</v>
      </c>
      <c r="H26" s="128" t="n">
        <f aca="false">IF(AND(G26&gt;=8, G28&gt;=8, G27&gt;=8), ROUND(((F26*G26) + (F28*G28)+ (F27*G27)) / (F26 + F28 + F27), 2), 0)</f>
        <v>0</v>
      </c>
      <c r="I26" s="128" t="n">
        <f aca="false">IF(H26&gt;9.99,(F26+F27+F28),0)</f>
        <v>0</v>
      </c>
      <c r="J26" s="132"/>
      <c r="K26" s="132"/>
      <c r="L26" s="143"/>
      <c r="M26" s="128" t="str">
        <f aca="false">IF(H26&gt;9.99,"Validé","Non validé")</f>
        <v>Non validé</v>
      </c>
    </row>
    <row r="27" customFormat="false" ht="14.25" hidden="false" customHeight="false" outlineLevel="0" collapsed="false">
      <c r="B27" s="116"/>
      <c r="C27" s="204"/>
      <c r="D27" s="140"/>
      <c r="E27" s="134" t="s">
        <v>99</v>
      </c>
      <c r="F27" s="126" t="n">
        <v>3</v>
      </c>
      <c r="G27" s="127" t="n">
        <f aca="false">'SEMESTRE N°5'!AN14</f>
        <v>16.9</v>
      </c>
      <c r="H27" s="128"/>
      <c r="I27" s="128"/>
      <c r="J27" s="132"/>
      <c r="K27" s="132"/>
      <c r="L27" s="132"/>
      <c r="M27" s="128"/>
    </row>
    <row r="28" customFormat="false" ht="14.25" hidden="false" customHeight="false" outlineLevel="0" collapsed="false">
      <c r="B28" s="116"/>
      <c r="C28" s="204"/>
      <c r="D28" s="140"/>
      <c r="E28" s="134" t="s">
        <v>100</v>
      </c>
      <c r="F28" s="126" t="n">
        <v>2</v>
      </c>
      <c r="G28" s="127" t="n">
        <f aca="false">'SEMESTRE N°5'!AR14</f>
        <v>6.4</v>
      </c>
      <c r="H28" s="128"/>
      <c r="I28" s="128"/>
      <c r="J28" s="132"/>
      <c r="K28" s="132"/>
      <c r="L28" s="143"/>
      <c r="M28" s="128"/>
    </row>
    <row r="29" customFormat="false" ht="19.5" hidden="false" customHeight="true" outlineLevel="0" collapsed="false">
      <c r="B29" s="116"/>
      <c r="C29" s="144" t="s">
        <v>101</v>
      </c>
      <c r="D29" s="144"/>
      <c r="E29" s="144"/>
      <c r="F29" s="145" t="n">
        <f aca="false">SUM(F19:F28)</f>
        <v>30</v>
      </c>
      <c r="G29" s="180"/>
      <c r="H29" s="128" t="n">
        <f aca="false">ROUND((H19+H21+H23+H26)/4,2)</f>
        <v>2.97</v>
      </c>
      <c r="I29" s="181" t="n">
        <f aca="false">SUM(I19:I28)</f>
        <v>5</v>
      </c>
      <c r="J29" s="182"/>
      <c r="K29" s="182"/>
      <c r="L29" s="182"/>
      <c r="M29" s="182"/>
    </row>
    <row r="30" customFormat="false" ht="12" hidden="false" customHeight="true" outlineLevel="0" collapsed="false">
      <c r="C30" s="149"/>
      <c r="G30" s="149"/>
    </row>
    <row r="31" customFormat="false" ht="16.5" hidden="false" customHeight="true" outlineLevel="0" collapsed="false">
      <c r="A31" s="150"/>
      <c r="B31" s="151" t="s">
        <v>102</v>
      </c>
      <c r="C31" s="151"/>
      <c r="D31" s="183" t="n">
        <f aca="false">SUM(I19:I28)</f>
        <v>5</v>
      </c>
      <c r="E31" s="153"/>
      <c r="F31" s="154"/>
      <c r="G31" s="155"/>
      <c r="H31" s="156"/>
      <c r="I31" s="156"/>
      <c r="K31" s="184" t="s">
        <v>103</v>
      </c>
      <c r="L31" s="184"/>
    </row>
    <row r="32" customFormat="false" ht="16.5" hidden="false" customHeight="true" outlineLevel="0" collapsed="false">
      <c r="A32" s="150"/>
      <c r="B32" s="151" t="s">
        <v>104</v>
      </c>
      <c r="C32" s="151"/>
      <c r="D32" s="158" t="str">
        <f aca="false">IF(D31=F29,"Semestre validé","Semestre non validé")</f>
        <v>Semestre non validé</v>
      </c>
      <c r="E32" s="154"/>
      <c r="F32" s="154"/>
      <c r="G32" s="159"/>
      <c r="K32" s="160"/>
      <c r="L32" s="154"/>
    </row>
    <row r="33" customFormat="false" ht="16.5" hidden="false" customHeight="true" outlineLevel="0" collapsed="false">
      <c r="A33" s="150"/>
      <c r="B33" s="151" t="s">
        <v>105</v>
      </c>
      <c r="C33" s="151"/>
      <c r="D33" s="161" t="n">
        <v>0</v>
      </c>
      <c r="E33" s="154"/>
      <c r="F33" s="154"/>
      <c r="G33" s="159"/>
      <c r="H33" s="154"/>
      <c r="I33" s="154"/>
      <c r="J33" s="154"/>
    </row>
    <row r="34" customFormat="false" ht="14.25" hidden="false" customHeight="true" outlineLevel="0" collapsed="false">
      <c r="B34" s="162"/>
      <c r="C34" s="162"/>
      <c r="D34" s="161"/>
      <c r="E34" s="154"/>
      <c r="F34" s="154"/>
      <c r="G34" s="159"/>
      <c r="H34" s="154"/>
      <c r="I34" s="154"/>
      <c r="J34" s="154"/>
    </row>
    <row r="35" customFormat="false" ht="16.5" hidden="false" customHeight="true" outlineLevel="0" collapsed="false">
      <c r="B35" s="162"/>
      <c r="C35" s="162"/>
      <c r="D35" s="161"/>
      <c r="E35" s="154"/>
      <c r="F35" s="154"/>
      <c r="G35" s="159"/>
      <c r="H35" s="154"/>
      <c r="I35" s="154"/>
      <c r="J35" s="154"/>
    </row>
    <row r="36" customFormat="false" ht="16.5" hidden="false" customHeight="true" outlineLevel="0" collapsed="false">
      <c r="C36" s="149"/>
      <c r="H36" s="164" t="s">
        <v>106</v>
      </c>
      <c r="I36" s="164"/>
      <c r="J36" s="164"/>
      <c r="K36" s="164"/>
      <c r="L36" s="164"/>
      <c r="M36" s="164"/>
    </row>
    <row r="37" customFormat="false" ht="16.5" hidden="false" customHeight="true" outlineLevel="0" collapsed="false">
      <c r="B37" s="205" t="s">
        <v>107</v>
      </c>
      <c r="C37" s="205"/>
      <c r="D37" s="205"/>
      <c r="E37" s="205"/>
      <c r="F37" s="205"/>
      <c r="G37" s="205"/>
      <c r="H37" s="205"/>
      <c r="I37" s="205"/>
      <c r="J37" s="205"/>
      <c r="K37" s="205"/>
      <c r="L37" s="205"/>
      <c r="M37" s="205"/>
    </row>
    <row r="38" customFormat="false" ht="11.25" hidden="false" customHeight="true" outlineLevel="0" collapsed="false">
      <c r="B38" s="205"/>
      <c r="C38" s="205"/>
      <c r="D38" s="205"/>
      <c r="E38" s="205"/>
      <c r="F38" s="205"/>
      <c r="G38" s="205"/>
      <c r="H38" s="205"/>
      <c r="I38" s="205"/>
      <c r="J38" s="205"/>
      <c r="K38" s="205"/>
      <c r="L38" s="205"/>
      <c r="M38" s="205"/>
    </row>
    <row r="42" customFormat="false" ht="12.75" hidden="false" customHeight="true" outlineLevel="0" collapsed="false"/>
    <row r="43" customFormat="false" ht="12.75" hidden="true" customHeight="true" outlineLevel="0" collapsed="false">
      <c r="A43" s="2" t="s">
        <v>112</v>
      </c>
    </row>
    <row r="44" customFormat="false" ht="14.25" hidden="true" customHeight="false" outlineLevel="0" collapsed="false">
      <c r="A44" s="97" t="s">
        <v>116</v>
      </c>
    </row>
  </sheetData>
  <mergeCells count="57">
    <mergeCell ref="E5:M8"/>
    <mergeCell ref="B9:M9"/>
    <mergeCell ref="C11:E11"/>
    <mergeCell ref="G11:L11"/>
    <mergeCell ref="B12:C12"/>
    <mergeCell ref="D12:E12"/>
    <mergeCell ref="G12:L12"/>
    <mergeCell ref="C13:E13"/>
    <mergeCell ref="G13:L13"/>
    <mergeCell ref="C14:E14"/>
    <mergeCell ref="G14:L14"/>
    <mergeCell ref="B15:D16"/>
    <mergeCell ref="E15:F16"/>
    <mergeCell ref="G15:M15"/>
    <mergeCell ref="G16:I16"/>
    <mergeCell ref="J16:L16"/>
    <mergeCell ref="M16:M18"/>
    <mergeCell ref="B17:B29"/>
    <mergeCell ref="C17:D18"/>
    <mergeCell ref="E17:E18"/>
    <mergeCell ref="F17:F18"/>
    <mergeCell ref="H17:I17"/>
    <mergeCell ref="J17:L17"/>
    <mergeCell ref="C19:C20"/>
    <mergeCell ref="D19:D20"/>
    <mergeCell ref="H19:H20"/>
    <mergeCell ref="I19:I20"/>
    <mergeCell ref="K19:K20"/>
    <mergeCell ref="L19:L20"/>
    <mergeCell ref="M19:M20"/>
    <mergeCell ref="C21:C22"/>
    <mergeCell ref="D21:D22"/>
    <mergeCell ref="H21:H22"/>
    <mergeCell ref="I21:I22"/>
    <mergeCell ref="K21:K22"/>
    <mergeCell ref="L21:L22"/>
    <mergeCell ref="M21:M22"/>
    <mergeCell ref="C23:C25"/>
    <mergeCell ref="D23:D25"/>
    <mergeCell ref="H23:H25"/>
    <mergeCell ref="I23:I25"/>
    <mergeCell ref="K23:K25"/>
    <mergeCell ref="L23:L25"/>
    <mergeCell ref="M23:M25"/>
    <mergeCell ref="C26:C28"/>
    <mergeCell ref="D26:D28"/>
    <mergeCell ref="H26:H28"/>
    <mergeCell ref="I26:I28"/>
    <mergeCell ref="K26:K28"/>
    <mergeCell ref="L26:L28"/>
    <mergeCell ref="M26:M28"/>
    <mergeCell ref="C29:E29"/>
    <mergeCell ref="J29:M29"/>
    <mergeCell ref="B31:C31"/>
    <mergeCell ref="B32:C32"/>
    <mergeCell ref="B33:C33"/>
    <mergeCell ref="B37:M38"/>
  </mergeCells>
  <printOptions headings="false" gridLines="false" gridLinesSet="true" horizontalCentered="false" verticalCentered="false"/>
  <pageMargins left="0" right="0" top="0" bottom="0" header="0.511811023622047" footer="0.511811023622047"/>
  <pageSetup paperSize="9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7030A0"/>
    <pageSetUpPr fitToPage="false"/>
  </sheetPr>
  <dimension ref="A4:N43"/>
  <sheetViews>
    <sheetView showFormulas="false" showGridLines="false" showRowColHeaders="true" showZeros="true" rightToLeft="false" tabSelected="false" showOutlineSymbols="true" defaultGridColor="true" view="normal" topLeftCell="A11" colorId="64" zoomScale="100" zoomScaleNormal="100" zoomScalePageLayoutView="100" workbookViewId="0">
      <selection pane="topLeft" activeCell="H26" activeCellId="0" sqref="H26"/>
    </sheetView>
  </sheetViews>
  <sheetFormatPr defaultColWidth="10.890625" defaultRowHeight="14.25" customHeight="false" zeroHeight="false" outlineLevelRow="0" outlineLevelCol="0"/>
  <cols>
    <col collapsed="false" customWidth="true" hidden="false" outlineLevel="0" max="1" min="1" style="97" width="4.67"/>
    <col collapsed="false" customWidth="true" hidden="false" outlineLevel="0" max="2" min="2" style="97" width="11.45"/>
    <col collapsed="false" customWidth="true" hidden="false" outlineLevel="0" max="3" min="3" style="97" width="10.67"/>
    <col collapsed="false" customWidth="true" hidden="false" outlineLevel="0" max="4" min="4" style="97" width="18.89"/>
    <col collapsed="false" customWidth="true" hidden="false" outlineLevel="0" max="5" min="5" style="97" width="27.89"/>
    <col collapsed="false" customWidth="true" hidden="false" outlineLevel="0" max="6" min="6" style="97" width="11.67"/>
    <col collapsed="false" customWidth="true" hidden="false" outlineLevel="0" max="9" min="7" style="97" width="7.67"/>
    <col collapsed="false" customWidth="true" hidden="false" outlineLevel="0" max="10" min="10" style="97" width="8.89"/>
    <col collapsed="false" customWidth="true" hidden="false" outlineLevel="0" max="11" min="11" style="97" width="7.45"/>
    <col collapsed="false" customWidth="true" hidden="false" outlineLevel="0" max="12" min="12" style="97" width="7.55"/>
    <col collapsed="false" customWidth="true" hidden="false" outlineLevel="0" max="13" min="13" style="97" width="11.55"/>
    <col collapsed="false" customWidth="true" hidden="false" outlineLevel="0" max="14" min="14" style="97" width="4.11"/>
    <col collapsed="false" customWidth="false" hidden="false" outlineLevel="0" max="16384" min="15" style="97" width="10.89"/>
  </cols>
  <sheetData>
    <row r="4" customFormat="false" ht="14.25" hidden="false" customHeight="false" outlineLevel="0" collapsed="false">
      <c r="E4" s="195"/>
      <c r="F4" s="195"/>
      <c r="G4" s="195"/>
      <c r="H4" s="195"/>
      <c r="I4" s="195"/>
      <c r="J4" s="195"/>
      <c r="K4" s="195"/>
      <c r="L4" s="195"/>
      <c r="M4" s="195"/>
    </row>
    <row r="5" customFormat="false" ht="14.25" hidden="false" customHeight="true" outlineLevel="0" collapsed="false">
      <c r="E5" s="186" t="s">
        <v>110</v>
      </c>
      <c r="F5" s="186"/>
      <c r="G5" s="186"/>
      <c r="H5" s="186"/>
      <c r="I5" s="186"/>
      <c r="J5" s="186"/>
      <c r="K5" s="186"/>
      <c r="L5" s="186"/>
      <c r="M5" s="186"/>
    </row>
    <row r="6" customFormat="false" ht="14.25" hidden="false" customHeight="false" outlineLevel="0" collapsed="false">
      <c r="E6" s="186"/>
      <c r="F6" s="186"/>
      <c r="G6" s="186"/>
      <c r="H6" s="186"/>
      <c r="I6" s="186"/>
      <c r="J6" s="186"/>
      <c r="K6" s="186"/>
      <c r="L6" s="186"/>
      <c r="M6" s="186"/>
    </row>
    <row r="7" customFormat="false" ht="14.25" hidden="false" customHeight="false" outlineLevel="0" collapsed="false">
      <c r="E7" s="186"/>
      <c r="F7" s="186"/>
      <c r="G7" s="186"/>
      <c r="H7" s="186"/>
      <c r="I7" s="186"/>
      <c r="J7" s="186"/>
      <c r="K7" s="186"/>
      <c r="L7" s="186"/>
      <c r="M7" s="186"/>
    </row>
    <row r="8" customFormat="false" ht="14.25" hidden="false" customHeight="false" outlineLevel="0" collapsed="false">
      <c r="E8" s="186"/>
      <c r="F8" s="186"/>
      <c r="G8" s="186"/>
      <c r="H8" s="186"/>
      <c r="I8" s="186"/>
      <c r="J8" s="186"/>
      <c r="K8" s="186"/>
      <c r="L8" s="186"/>
      <c r="M8" s="186"/>
    </row>
    <row r="9" customFormat="false" ht="18" hidden="false" customHeight="true" outlineLevel="0" collapsed="false">
      <c r="A9" s="99"/>
      <c r="B9" s="100" t="s">
        <v>64</v>
      </c>
      <c r="C9" s="100"/>
      <c r="D9" s="100"/>
      <c r="E9" s="100"/>
      <c r="F9" s="100"/>
      <c r="G9" s="100"/>
      <c r="H9" s="100"/>
      <c r="I9" s="100"/>
      <c r="J9" s="100"/>
      <c r="K9" s="100"/>
      <c r="L9" s="100"/>
      <c r="M9" s="100"/>
      <c r="N9" s="99"/>
    </row>
    <row r="10" customFormat="false" ht="11.25" hidden="false" customHeight="true" outlineLevel="0" collapsed="false">
      <c r="B10" s="101"/>
      <c r="C10" s="101"/>
      <c r="D10" s="101"/>
      <c r="E10" s="101"/>
      <c r="F10" s="101"/>
      <c r="G10" s="101"/>
      <c r="H10" s="101"/>
      <c r="I10" s="101"/>
      <c r="J10" s="101"/>
      <c r="K10" s="101"/>
      <c r="L10" s="101"/>
    </row>
    <row r="11" customFormat="false" ht="16.5" hidden="false" customHeight="true" outlineLevel="0" collapsed="false">
      <c r="B11" s="103" t="s">
        <v>65</v>
      </c>
      <c r="C11" s="108" t="str">
        <f aca="false">'SEMESTRE N°5'!A15</f>
        <v>PAMBOU Christine Bienheureuse</v>
      </c>
      <c r="D11" s="108"/>
      <c r="E11" s="108"/>
      <c r="F11" s="103" t="s">
        <v>66</v>
      </c>
      <c r="G11" s="105" t="s">
        <v>67</v>
      </c>
      <c r="H11" s="105"/>
      <c r="I11" s="105"/>
      <c r="J11" s="105"/>
      <c r="K11" s="105"/>
      <c r="L11" s="105"/>
    </row>
    <row r="12" customFormat="false" ht="16.5" hidden="false" customHeight="true" outlineLevel="0" collapsed="false">
      <c r="B12" s="106" t="s">
        <v>68</v>
      </c>
      <c r="C12" s="106"/>
      <c r="D12" s="166" t="str">
        <f aca="false">'SEMESTRE N°5'!B15</f>
        <v>05/06/1999</v>
      </c>
      <c r="E12" s="166"/>
      <c r="F12" s="103" t="s">
        <v>69</v>
      </c>
      <c r="G12" s="167" t="s">
        <v>70</v>
      </c>
      <c r="H12" s="167"/>
      <c r="I12" s="167"/>
      <c r="J12" s="167"/>
      <c r="K12" s="167"/>
      <c r="L12" s="167"/>
    </row>
    <row r="13" customFormat="false" ht="16.5" hidden="false" customHeight="true" outlineLevel="0" collapsed="false">
      <c r="B13" s="103" t="s">
        <v>71</v>
      </c>
      <c r="C13" s="108" t="str">
        <f aca="false">'SEMESTRE N°5'!C15</f>
        <v>Gabonaise</v>
      </c>
      <c r="D13" s="108"/>
      <c r="E13" s="108"/>
      <c r="F13" s="103" t="s">
        <v>72</v>
      </c>
      <c r="G13" s="167" t="s">
        <v>109</v>
      </c>
      <c r="H13" s="167"/>
      <c r="I13" s="167"/>
      <c r="J13" s="167"/>
      <c r="K13" s="167"/>
      <c r="L13" s="167"/>
    </row>
    <row r="14" customFormat="false" ht="16.5" hidden="false" customHeight="true" outlineLevel="0" collapsed="false">
      <c r="B14" s="103" t="s">
        <v>73</v>
      </c>
      <c r="C14" s="105" t="n">
        <f aca="false">'SEMESTRE N°5'!D15</f>
        <v>232022</v>
      </c>
      <c r="D14" s="105"/>
      <c r="E14" s="105"/>
      <c r="F14" s="103" t="s">
        <v>74</v>
      </c>
      <c r="G14" s="109" t="s">
        <v>75</v>
      </c>
      <c r="H14" s="109"/>
      <c r="I14" s="109"/>
      <c r="J14" s="109"/>
      <c r="K14" s="109"/>
      <c r="L14" s="109"/>
    </row>
    <row r="15" customFormat="false" ht="14.25" hidden="false" customHeight="false" outlineLevel="0" collapsed="false">
      <c r="B15" s="110" t="s">
        <v>76</v>
      </c>
      <c r="C15" s="110"/>
      <c r="D15" s="110"/>
      <c r="E15" s="111" t="s">
        <v>77</v>
      </c>
      <c r="F15" s="111"/>
      <c r="G15" s="112" t="s">
        <v>78</v>
      </c>
      <c r="H15" s="112"/>
      <c r="I15" s="112"/>
      <c r="J15" s="112"/>
      <c r="K15" s="112"/>
      <c r="L15" s="112"/>
      <c r="M15" s="112"/>
    </row>
    <row r="16" customFormat="false" ht="14.25" hidden="false" customHeight="false" outlineLevel="0" collapsed="false">
      <c r="B16" s="110"/>
      <c r="C16" s="110"/>
      <c r="D16" s="110"/>
      <c r="E16" s="111"/>
      <c r="F16" s="111"/>
      <c r="G16" s="112" t="s">
        <v>79</v>
      </c>
      <c r="H16" s="112"/>
      <c r="I16" s="112"/>
      <c r="J16" s="113" t="s">
        <v>80</v>
      </c>
      <c r="K16" s="113"/>
      <c r="L16" s="113"/>
      <c r="M16" s="114" t="s">
        <v>81</v>
      </c>
    </row>
    <row r="17" customFormat="false" ht="14.25" hidden="false" customHeight="false" outlineLevel="0" collapsed="false">
      <c r="B17" s="116" t="s">
        <v>82</v>
      </c>
      <c r="C17" s="117" t="s">
        <v>83</v>
      </c>
      <c r="D17" s="117"/>
      <c r="E17" s="118" t="s">
        <v>83</v>
      </c>
      <c r="F17" s="118" t="s">
        <v>84</v>
      </c>
      <c r="G17" s="119" t="s">
        <v>85</v>
      </c>
      <c r="H17" s="118" t="s">
        <v>86</v>
      </c>
      <c r="I17" s="118"/>
      <c r="J17" s="121" t="s">
        <v>9</v>
      </c>
      <c r="K17" s="121"/>
      <c r="L17" s="121"/>
      <c r="M17" s="114"/>
    </row>
    <row r="18" customFormat="false" ht="14.25" hidden="false" customHeight="false" outlineLevel="0" collapsed="false">
      <c r="B18" s="116"/>
      <c r="C18" s="117"/>
      <c r="D18" s="117"/>
      <c r="E18" s="118"/>
      <c r="F18" s="118"/>
      <c r="G18" s="118" t="s">
        <v>87</v>
      </c>
      <c r="H18" s="118" t="s">
        <v>87</v>
      </c>
      <c r="I18" s="118" t="s">
        <v>84</v>
      </c>
      <c r="J18" s="122" t="s">
        <v>87</v>
      </c>
      <c r="K18" s="122" t="s">
        <v>87</v>
      </c>
      <c r="L18" s="121" t="s">
        <v>84</v>
      </c>
      <c r="M18" s="114"/>
    </row>
    <row r="19" customFormat="false" ht="16.5" hidden="false" customHeight="true" outlineLevel="0" collapsed="false">
      <c r="B19" s="116"/>
      <c r="C19" s="123" t="s">
        <v>88</v>
      </c>
      <c r="D19" s="172" t="s">
        <v>89</v>
      </c>
      <c r="E19" s="206" t="s">
        <v>90</v>
      </c>
      <c r="F19" s="126" t="n">
        <v>6</v>
      </c>
      <c r="G19" s="127" t="n">
        <f aca="false">'SEMESTRE N°5'!H15</f>
        <v>5.668</v>
      </c>
      <c r="H19" s="128" t="n">
        <f aca="false">IF(AND(G19&gt;=8, G20&gt;=8), ROUND(((F19*G19) + (F20*G20)) / (F19 + F20), 2), 0)</f>
        <v>0</v>
      </c>
      <c r="I19" s="128" t="n">
        <f aca="false">IF(H19&gt;9.99,(F19+F20),0)</f>
        <v>0</v>
      </c>
      <c r="J19" s="129"/>
      <c r="K19" s="129"/>
      <c r="L19" s="129"/>
      <c r="M19" s="128" t="str">
        <f aca="false">IF(H19&gt;9.99,"Validé","Non validé")</f>
        <v>Non validé</v>
      </c>
    </row>
    <row r="20" customFormat="false" ht="16.5" hidden="false" customHeight="true" outlineLevel="0" collapsed="false">
      <c r="B20" s="116"/>
      <c r="C20" s="123"/>
      <c r="D20" s="172"/>
      <c r="E20" s="174" t="s">
        <v>91</v>
      </c>
      <c r="F20" s="175" t="n">
        <v>3</v>
      </c>
      <c r="G20" s="176" t="n">
        <f aca="false">'SEMESTRE N°5'!L10</f>
        <v>12.2</v>
      </c>
      <c r="H20" s="128"/>
      <c r="I20" s="128"/>
      <c r="J20" s="132"/>
      <c r="K20" s="129"/>
      <c r="L20" s="129"/>
      <c r="M20" s="128"/>
    </row>
    <row r="21" customFormat="false" ht="16.5" hidden="false" customHeight="true" outlineLevel="0" collapsed="false">
      <c r="B21" s="116"/>
      <c r="C21" s="133" t="s">
        <v>92</v>
      </c>
      <c r="D21" s="177" t="s">
        <v>93</v>
      </c>
      <c r="E21" s="141" t="s">
        <v>12</v>
      </c>
      <c r="F21" s="142" t="n">
        <v>2</v>
      </c>
      <c r="G21" s="138" t="n">
        <f aca="false">'SEMESTRE N°5'!P15</f>
        <v>10.8</v>
      </c>
      <c r="H21" s="128" t="n">
        <f aca="false">IF(AND(G21&gt;=8, G22&gt;=8), ROUND(((F21*G21) + (F22*G22)) / (F21 + F22), 2), 0)</f>
        <v>0</v>
      </c>
      <c r="I21" s="128" t="n">
        <f aca="false">IF(H21&gt;9.99,(F21+F22),0)</f>
        <v>0</v>
      </c>
      <c r="J21" s="132"/>
      <c r="K21" s="132"/>
      <c r="L21" s="132"/>
      <c r="M21" s="128" t="str">
        <f aca="false">IF(H21&gt;9.99,"Validé","Non validé")</f>
        <v>Non validé</v>
      </c>
    </row>
    <row r="22" customFormat="false" ht="16.5" hidden="false" customHeight="true" outlineLevel="0" collapsed="false">
      <c r="B22" s="116"/>
      <c r="C22" s="133"/>
      <c r="D22" s="177"/>
      <c r="E22" s="174" t="s">
        <v>13</v>
      </c>
      <c r="F22" s="175" t="n">
        <v>3</v>
      </c>
      <c r="G22" s="176" t="n">
        <f aca="false">'SEMESTRE N°5'!T15</f>
        <v>5.15</v>
      </c>
      <c r="H22" s="128"/>
      <c r="I22" s="128"/>
      <c r="J22" s="132"/>
      <c r="K22" s="132"/>
      <c r="L22" s="132"/>
      <c r="M22" s="128"/>
    </row>
    <row r="23" customFormat="false" ht="16.5" hidden="false" customHeight="true" outlineLevel="0" collapsed="false">
      <c r="B23" s="116"/>
      <c r="C23" s="133" t="s">
        <v>94</v>
      </c>
      <c r="D23" s="207" t="s">
        <v>95</v>
      </c>
      <c r="E23" s="208" t="s">
        <v>14</v>
      </c>
      <c r="F23" s="142" t="n">
        <v>2</v>
      </c>
      <c r="G23" s="138" t="n">
        <f aca="false">'SEMESTRE N°5'!X15</f>
        <v>11.2</v>
      </c>
      <c r="H23" s="128" t="n">
        <f aca="false">IF(AND(G23&gt;=8, G25&gt;=8, G24&gt;=8), ROUND(((F23*G23) + (F25*G25)+ (F24*G24)) / (F23 + F25 + F24), 2), 0)</f>
        <v>0</v>
      </c>
      <c r="I23" s="128" t="n">
        <f aca="false">IF(H23&gt;9.99,(F23+F25+F24),0)</f>
        <v>0</v>
      </c>
      <c r="J23" s="132"/>
      <c r="K23" s="132"/>
      <c r="L23" s="132"/>
      <c r="M23" s="128" t="str">
        <f aca="false">IF(H23&gt;9.99,"Validé","Non validé")</f>
        <v>Non validé</v>
      </c>
    </row>
    <row r="24" customFormat="false" ht="16.5" hidden="false" customHeight="true" outlineLevel="0" collapsed="false">
      <c r="B24" s="116"/>
      <c r="C24" s="133"/>
      <c r="D24" s="207"/>
      <c r="E24" s="136" t="s">
        <v>15</v>
      </c>
      <c r="F24" s="137" t="n">
        <v>3</v>
      </c>
      <c r="G24" s="138" t="n">
        <f aca="false">'SEMESTRE N°5'!AB15</f>
        <v>6.364</v>
      </c>
      <c r="H24" s="128"/>
      <c r="I24" s="128"/>
      <c r="J24" s="132"/>
      <c r="K24" s="132"/>
      <c r="L24" s="132"/>
      <c r="M24" s="128"/>
    </row>
    <row r="25" customFormat="false" ht="16.5" hidden="false" customHeight="true" outlineLevel="0" collapsed="false">
      <c r="B25" s="116"/>
      <c r="C25" s="133"/>
      <c r="D25" s="207"/>
      <c r="E25" s="179" t="s">
        <v>16</v>
      </c>
      <c r="F25" s="175" t="n">
        <v>3</v>
      </c>
      <c r="G25" s="176" t="n">
        <f aca="false">'SEMESTRE N°5'!AF15</f>
        <v>10.05</v>
      </c>
      <c r="H25" s="128"/>
      <c r="I25" s="128"/>
      <c r="J25" s="132"/>
      <c r="K25" s="132"/>
      <c r="L25" s="132"/>
      <c r="M25" s="128"/>
    </row>
    <row r="26" customFormat="false" ht="16.5" hidden="false" customHeight="true" outlineLevel="0" collapsed="false">
      <c r="B26" s="116"/>
      <c r="C26" s="139" t="s">
        <v>96</v>
      </c>
      <c r="D26" s="140" t="s">
        <v>97</v>
      </c>
      <c r="E26" s="141" t="s">
        <v>98</v>
      </c>
      <c r="F26" s="142" t="n">
        <v>3</v>
      </c>
      <c r="G26" s="138" t="n">
        <f aca="false">'SEMESTRE N°5'!AJ15</f>
        <v>12.2</v>
      </c>
      <c r="H26" s="128" t="n">
        <f aca="false">IF(AND(G26&gt;=8, G28&gt;=8, G27&gt;=8), ROUND(((F26*G26) + (F28*G28)+ (F27*G27)) / (F26 + F28 + F27), 2), 0)</f>
        <v>0</v>
      </c>
      <c r="I26" s="128" t="n">
        <f aca="false">IF(H26&gt;9.99,(F26+F27+F28),0)</f>
        <v>0</v>
      </c>
      <c r="J26" s="132"/>
      <c r="K26" s="132"/>
      <c r="L26" s="143"/>
      <c r="M26" s="128" t="str">
        <f aca="false">IF(H26&gt;9.99,"Validé","Non validé")</f>
        <v>Non validé</v>
      </c>
    </row>
    <row r="27" customFormat="false" ht="16.5" hidden="false" customHeight="true" outlineLevel="0" collapsed="false">
      <c r="B27" s="116"/>
      <c r="C27" s="139"/>
      <c r="D27" s="140"/>
      <c r="E27" s="134" t="s">
        <v>99</v>
      </c>
      <c r="F27" s="126" t="n">
        <v>3</v>
      </c>
      <c r="G27" s="127" t="n">
        <f aca="false">'SEMESTRE N°5'!AN15</f>
        <v>15</v>
      </c>
      <c r="H27" s="128"/>
      <c r="I27" s="128"/>
      <c r="J27" s="132"/>
      <c r="K27" s="132"/>
      <c r="L27" s="132"/>
      <c r="M27" s="128"/>
    </row>
    <row r="28" customFormat="false" ht="16.5" hidden="false" customHeight="true" outlineLevel="0" collapsed="false">
      <c r="B28" s="116"/>
      <c r="C28" s="139"/>
      <c r="D28" s="140"/>
      <c r="E28" s="134" t="s">
        <v>100</v>
      </c>
      <c r="F28" s="126" t="n">
        <v>2</v>
      </c>
      <c r="G28" s="127" t="n">
        <f aca="false">'SEMESTRE N°5'!AR15</f>
        <v>5.75</v>
      </c>
      <c r="H28" s="128"/>
      <c r="I28" s="128"/>
      <c r="J28" s="132"/>
      <c r="K28" s="132"/>
      <c r="L28" s="143"/>
      <c r="M28" s="128"/>
    </row>
    <row r="29" customFormat="false" ht="19.5" hidden="false" customHeight="true" outlineLevel="0" collapsed="false">
      <c r="B29" s="116"/>
      <c r="C29" s="144" t="s">
        <v>101</v>
      </c>
      <c r="D29" s="144"/>
      <c r="E29" s="144"/>
      <c r="F29" s="145" t="n">
        <f aca="false">SUM(F19:F28)</f>
        <v>30</v>
      </c>
      <c r="G29" s="180"/>
      <c r="H29" s="128" t="n">
        <f aca="false">ROUND((H19+H21+H23+H26)/4,2)</f>
        <v>0</v>
      </c>
      <c r="I29" s="181" t="n">
        <f aca="false">SUM(I19:I28)</f>
        <v>0</v>
      </c>
      <c r="J29" s="182"/>
      <c r="K29" s="182"/>
      <c r="L29" s="182"/>
      <c r="M29" s="182"/>
    </row>
    <row r="30" customFormat="false" ht="12" hidden="false" customHeight="true" outlineLevel="0" collapsed="false">
      <c r="C30" s="149"/>
      <c r="G30" s="149"/>
    </row>
    <row r="31" customFormat="false" ht="16.5" hidden="false" customHeight="true" outlineLevel="0" collapsed="false">
      <c r="A31" s="150"/>
      <c r="B31" s="151" t="s">
        <v>102</v>
      </c>
      <c r="C31" s="151"/>
      <c r="D31" s="152" t="n">
        <f aca="false">SUM(I19:I28)</f>
        <v>0</v>
      </c>
      <c r="E31" s="153"/>
      <c r="F31" s="154"/>
      <c r="G31" s="155"/>
      <c r="H31" s="156"/>
      <c r="I31" s="156"/>
      <c r="K31" s="157" t="s">
        <v>103</v>
      </c>
      <c r="L31" s="157"/>
      <c r="M31" s="157"/>
    </row>
    <row r="32" customFormat="false" ht="16.5" hidden="false" customHeight="true" outlineLevel="0" collapsed="false">
      <c r="A32" s="150"/>
      <c r="B32" s="151" t="s">
        <v>104</v>
      </c>
      <c r="C32" s="151"/>
      <c r="D32" s="158" t="str">
        <f aca="false">IF(D31=F29,"Semestre validé","Semestre non validé")</f>
        <v>Semestre non validé</v>
      </c>
      <c r="E32" s="154"/>
      <c r="F32" s="154"/>
      <c r="G32" s="159"/>
      <c r="K32" s="160"/>
      <c r="L32" s="154"/>
    </row>
    <row r="33" customFormat="false" ht="16.5" hidden="false" customHeight="true" outlineLevel="0" collapsed="false">
      <c r="A33" s="150"/>
      <c r="B33" s="151" t="s">
        <v>105</v>
      </c>
      <c r="C33" s="151"/>
      <c r="D33" s="161" t="n">
        <v>0</v>
      </c>
      <c r="E33" s="154"/>
      <c r="F33" s="154"/>
      <c r="G33" s="159"/>
      <c r="H33" s="154"/>
      <c r="I33" s="154"/>
      <c r="J33" s="154"/>
    </row>
    <row r="34" customFormat="false" ht="16.5" hidden="false" customHeight="true" outlineLevel="0" collapsed="false">
      <c r="B34" s="10"/>
      <c r="C34" s="10"/>
      <c r="D34" s="161"/>
      <c r="E34" s="154"/>
      <c r="F34" s="154"/>
      <c r="G34" s="159"/>
      <c r="H34" s="154"/>
      <c r="I34" s="154"/>
      <c r="J34" s="154"/>
    </row>
    <row r="35" customFormat="false" ht="16.5" hidden="false" customHeight="true" outlineLevel="0" collapsed="false">
      <c r="C35" s="149"/>
      <c r="H35" s="209" t="s">
        <v>106</v>
      </c>
      <c r="I35" s="209"/>
      <c r="J35" s="209"/>
      <c r="K35" s="209"/>
      <c r="L35" s="209"/>
      <c r="M35" s="209"/>
    </row>
    <row r="36" customFormat="false" ht="16.5" hidden="false" customHeight="true" outlineLevel="0" collapsed="false">
      <c r="B36" s="205" t="s">
        <v>107</v>
      </c>
      <c r="C36" s="205"/>
      <c r="D36" s="205"/>
      <c r="E36" s="205"/>
      <c r="F36" s="205"/>
      <c r="G36" s="205"/>
      <c r="H36" s="205"/>
      <c r="I36" s="205"/>
      <c r="J36" s="205"/>
      <c r="K36" s="205"/>
      <c r="L36" s="205"/>
      <c r="M36" s="205"/>
    </row>
    <row r="37" customFormat="false" ht="11.25" hidden="false" customHeight="true" outlineLevel="0" collapsed="false">
      <c r="B37" s="205"/>
      <c r="C37" s="205"/>
      <c r="D37" s="205"/>
      <c r="E37" s="205"/>
      <c r="F37" s="205"/>
      <c r="G37" s="205"/>
      <c r="H37" s="205"/>
      <c r="I37" s="205"/>
      <c r="J37" s="205"/>
      <c r="K37" s="205"/>
      <c r="L37" s="205"/>
      <c r="M37" s="205"/>
    </row>
    <row r="41" customFormat="false" ht="12.75" hidden="false" customHeight="true" outlineLevel="0" collapsed="false"/>
    <row r="42" customFormat="false" ht="12.75" hidden="true" customHeight="true" outlineLevel="0" collapsed="false">
      <c r="A42" s="2" t="s">
        <v>112</v>
      </c>
    </row>
    <row r="43" customFormat="false" ht="14.25" hidden="true" customHeight="false" outlineLevel="0" collapsed="false">
      <c r="A43" s="97" t="s">
        <v>116</v>
      </c>
    </row>
  </sheetData>
  <mergeCells count="59">
    <mergeCell ref="E5:M8"/>
    <mergeCell ref="B9:M9"/>
    <mergeCell ref="C11:E11"/>
    <mergeCell ref="G11:L11"/>
    <mergeCell ref="B12:C12"/>
    <mergeCell ref="D12:E12"/>
    <mergeCell ref="G12:L12"/>
    <mergeCell ref="C13:E13"/>
    <mergeCell ref="G13:L13"/>
    <mergeCell ref="C14:E14"/>
    <mergeCell ref="G14:L14"/>
    <mergeCell ref="B15:D16"/>
    <mergeCell ref="E15:F16"/>
    <mergeCell ref="G15:M15"/>
    <mergeCell ref="G16:I16"/>
    <mergeCell ref="J16:L16"/>
    <mergeCell ref="M16:M18"/>
    <mergeCell ref="B17:B29"/>
    <mergeCell ref="C17:D18"/>
    <mergeCell ref="E17:E18"/>
    <mergeCell ref="F17:F18"/>
    <mergeCell ref="H17:I17"/>
    <mergeCell ref="J17:L17"/>
    <mergeCell ref="C19:C20"/>
    <mergeCell ref="D19:D20"/>
    <mergeCell ref="H19:H20"/>
    <mergeCell ref="I19:I20"/>
    <mergeCell ref="K19:K20"/>
    <mergeCell ref="L19:L20"/>
    <mergeCell ref="M19:M20"/>
    <mergeCell ref="C21:C22"/>
    <mergeCell ref="D21:D22"/>
    <mergeCell ref="H21:H22"/>
    <mergeCell ref="I21:I22"/>
    <mergeCell ref="K21:K22"/>
    <mergeCell ref="L21:L22"/>
    <mergeCell ref="M21:M22"/>
    <mergeCell ref="C23:C25"/>
    <mergeCell ref="D23:D25"/>
    <mergeCell ref="H23:H25"/>
    <mergeCell ref="I23:I25"/>
    <mergeCell ref="K23:K25"/>
    <mergeCell ref="L23:L25"/>
    <mergeCell ref="M23:M25"/>
    <mergeCell ref="C26:C28"/>
    <mergeCell ref="D26:D28"/>
    <mergeCell ref="H26:H28"/>
    <mergeCell ref="I26:I28"/>
    <mergeCell ref="K26:K28"/>
    <mergeCell ref="L26:L28"/>
    <mergeCell ref="M26:M28"/>
    <mergeCell ref="C29:E29"/>
    <mergeCell ref="J29:M29"/>
    <mergeCell ref="B31:C31"/>
    <mergeCell ref="K31:M31"/>
    <mergeCell ref="B32:C32"/>
    <mergeCell ref="B33:C33"/>
    <mergeCell ref="H35:M35"/>
    <mergeCell ref="B36:M37"/>
  </mergeCells>
  <printOptions headings="false" gridLines="false" gridLinesSet="true" horizontalCentered="false" verticalCentered="false"/>
  <pageMargins left="0" right="0" top="0" bottom="0" header="0.511811023622047" footer="0.511811023622047"/>
  <pageSetup paperSize="9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7030A0"/>
    <pageSetUpPr fitToPage="false"/>
  </sheetPr>
  <dimension ref="A4:N44"/>
  <sheetViews>
    <sheetView showFormulas="false" showGridLines="false" showRowColHeaders="true" showZeros="true" rightToLeft="false" tabSelected="false" showOutlineSymbols="true" defaultGridColor="true" view="normal" topLeftCell="A9" colorId="64" zoomScale="100" zoomScaleNormal="100" zoomScalePageLayoutView="100" workbookViewId="0">
      <selection pane="topLeft" activeCell="I26" activeCellId="0" sqref="I26"/>
    </sheetView>
  </sheetViews>
  <sheetFormatPr defaultColWidth="10.890625" defaultRowHeight="14.25" customHeight="false" zeroHeight="false" outlineLevelRow="0" outlineLevelCol="0"/>
  <cols>
    <col collapsed="false" customWidth="true" hidden="false" outlineLevel="0" max="1" min="1" style="97" width="3.67"/>
    <col collapsed="false" customWidth="false" hidden="false" outlineLevel="0" max="2" min="2" style="97" width="10.89"/>
    <col collapsed="false" customWidth="true" hidden="false" outlineLevel="0" max="3" min="3" style="97" width="10.67"/>
    <col collapsed="false" customWidth="true" hidden="false" outlineLevel="0" max="4" min="4" style="97" width="19.67"/>
    <col collapsed="false" customWidth="true" hidden="false" outlineLevel="0" max="5" min="5" style="97" width="29"/>
    <col collapsed="false" customWidth="true" hidden="false" outlineLevel="0" max="6" min="6" style="97" width="11.67"/>
    <col collapsed="false" customWidth="true" hidden="false" outlineLevel="0" max="9" min="7" style="97" width="7.67"/>
    <col collapsed="false" customWidth="true" hidden="false" outlineLevel="0" max="10" min="10" style="97" width="8.67"/>
    <col collapsed="false" customWidth="true" hidden="false" outlineLevel="0" max="11" min="11" style="97" width="7.11"/>
    <col collapsed="false" customWidth="true" hidden="false" outlineLevel="0" max="12" min="12" style="97" width="8"/>
    <col collapsed="false" customWidth="true" hidden="false" outlineLevel="0" max="13" min="13" style="97" width="10.56"/>
    <col collapsed="false" customWidth="true" hidden="false" outlineLevel="0" max="14" min="14" style="97" width="4.11"/>
    <col collapsed="false" customWidth="false" hidden="false" outlineLevel="0" max="16384" min="15" style="97" width="10.89"/>
  </cols>
  <sheetData>
    <row r="4" customFormat="false" ht="14.25" hidden="false" customHeight="false" outlineLevel="0" collapsed="false">
      <c r="E4" s="195"/>
      <c r="F4" s="195"/>
      <c r="G4" s="195"/>
      <c r="H4" s="195"/>
      <c r="I4" s="195"/>
      <c r="J4" s="195"/>
      <c r="K4" s="195"/>
      <c r="L4" s="195"/>
      <c r="M4" s="195"/>
    </row>
    <row r="5" customFormat="false" ht="14.25" hidden="false" customHeight="true" outlineLevel="0" collapsed="false">
      <c r="E5" s="186" t="s">
        <v>110</v>
      </c>
      <c r="F5" s="186"/>
      <c r="G5" s="186"/>
      <c r="H5" s="186"/>
      <c r="I5" s="186"/>
      <c r="J5" s="186"/>
      <c r="K5" s="186"/>
      <c r="L5" s="186"/>
      <c r="M5" s="186"/>
    </row>
    <row r="6" customFormat="false" ht="14.25" hidden="false" customHeight="false" outlineLevel="0" collapsed="false">
      <c r="E6" s="186"/>
      <c r="F6" s="186"/>
      <c r="G6" s="186"/>
      <c r="H6" s="186"/>
      <c r="I6" s="186"/>
      <c r="J6" s="186"/>
      <c r="K6" s="186"/>
      <c r="L6" s="186"/>
      <c r="M6" s="186"/>
    </row>
    <row r="7" customFormat="false" ht="14.25" hidden="false" customHeight="false" outlineLevel="0" collapsed="false">
      <c r="E7" s="186"/>
      <c r="F7" s="186"/>
      <c r="G7" s="186"/>
      <c r="H7" s="186"/>
      <c r="I7" s="186"/>
      <c r="J7" s="186"/>
      <c r="K7" s="186"/>
      <c r="L7" s="186"/>
      <c r="M7" s="186"/>
    </row>
    <row r="8" customFormat="false" ht="14.25" hidden="false" customHeight="false" outlineLevel="0" collapsed="false">
      <c r="E8" s="186"/>
      <c r="F8" s="186"/>
      <c r="G8" s="186"/>
      <c r="H8" s="186"/>
      <c r="I8" s="186"/>
      <c r="J8" s="186"/>
      <c r="K8" s="186"/>
      <c r="L8" s="186"/>
      <c r="M8" s="186"/>
    </row>
    <row r="9" customFormat="false" ht="18" hidden="false" customHeight="true" outlineLevel="0" collapsed="false">
      <c r="A9" s="99"/>
      <c r="B9" s="100" t="s">
        <v>64</v>
      </c>
      <c r="C9" s="100"/>
      <c r="D9" s="100"/>
      <c r="E9" s="100"/>
      <c r="F9" s="100"/>
      <c r="G9" s="100"/>
      <c r="H9" s="100"/>
      <c r="I9" s="100"/>
      <c r="J9" s="100"/>
      <c r="K9" s="100"/>
      <c r="L9" s="100"/>
      <c r="M9" s="100"/>
      <c r="N9" s="99"/>
    </row>
    <row r="10" customFormat="false" ht="11.25" hidden="false" customHeight="true" outlineLevel="0" collapsed="false">
      <c r="B10" s="101"/>
      <c r="C10" s="101"/>
      <c r="D10" s="101"/>
      <c r="E10" s="101"/>
      <c r="F10" s="101"/>
      <c r="G10" s="101"/>
      <c r="H10" s="101"/>
      <c r="I10" s="101"/>
      <c r="J10" s="101"/>
      <c r="K10" s="101"/>
      <c r="L10" s="101"/>
    </row>
    <row r="11" s="102" customFormat="true" ht="15" hidden="false" customHeight="true" outlineLevel="0" collapsed="false">
      <c r="B11" s="103" t="s">
        <v>65</v>
      </c>
      <c r="C11" s="108" t="n">
        <f aca="false">'SEMESTRE N°5'!A16</f>
        <v>0</v>
      </c>
      <c r="D11" s="108"/>
      <c r="E11" s="108"/>
      <c r="F11" s="103" t="s">
        <v>66</v>
      </c>
      <c r="G11" s="105" t="s">
        <v>67</v>
      </c>
      <c r="H11" s="105"/>
      <c r="I11" s="105"/>
      <c r="J11" s="105"/>
      <c r="K11" s="105"/>
      <c r="L11" s="105"/>
    </row>
    <row r="12" s="102" customFormat="true" ht="15" hidden="false" customHeight="true" outlineLevel="0" collapsed="false">
      <c r="B12" s="106" t="s">
        <v>118</v>
      </c>
      <c r="C12" s="106"/>
      <c r="D12" s="107" t="str">
        <f aca="false">'SEMESTRE N°5'!B16</f>
        <v>01/04/2003</v>
      </c>
      <c r="E12" s="107"/>
      <c r="F12" s="103" t="s">
        <v>69</v>
      </c>
      <c r="G12" s="105" t="s">
        <v>70</v>
      </c>
      <c r="H12" s="105"/>
      <c r="I12" s="105"/>
      <c r="J12" s="105"/>
      <c r="K12" s="105"/>
      <c r="L12" s="105"/>
    </row>
    <row r="13" s="102" customFormat="true" ht="15" hidden="false" customHeight="true" outlineLevel="0" collapsed="false">
      <c r="B13" s="103" t="s">
        <v>71</v>
      </c>
      <c r="C13" s="108" t="str">
        <f aca="false">'SEMESTRE N°5'!C16</f>
        <v>Gabonaise</v>
      </c>
      <c r="D13" s="108"/>
      <c r="E13" s="108"/>
      <c r="F13" s="103" t="s">
        <v>72</v>
      </c>
      <c r="G13" s="105" t="s">
        <v>109</v>
      </c>
      <c r="H13" s="105"/>
      <c r="I13" s="105"/>
      <c r="J13" s="105"/>
      <c r="K13" s="105"/>
      <c r="L13" s="105"/>
    </row>
    <row r="14" s="102" customFormat="true" ht="15" hidden="false" customHeight="true" outlineLevel="0" collapsed="false">
      <c r="B14" s="103" t="s">
        <v>73</v>
      </c>
      <c r="C14" s="105" t="n">
        <f aca="false">'SEMESTRE N°5'!D16</f>
        <v>252022</v>
      </c>
      <c r="D14" s="105"/>
      <c r="E14" s="105"/>
      <c r="F14" s="103" t="s">
        <v>74</v>
      </c>
      <c r="G14" s="109" t="s">
        <v>75</v>
      </c>
      <c r="H14" s="109"/>
      <c r="I14" s="109"/>
      <c r="J14" s="109"/>
      <c r="K14" s="109"/>
      <c r="L14" s="109"/>
    </row>
    <row r="15" customFormat="false" ht="14.25" hidden="false" customHeight="false" outlineLevel="0" collapsed="false">
      <c r="B15" s="110" t="s">
        <v>76</v>
      </c>
      <c r="C15" s="110"/>
      <c r="D15" s="110"/>
      <c r="E15" s="111" t="s">
        <v>77</v>
      </c>
      <c r="F15" s="111"/>
      <c r="G15" s="112" t="s">
        <v>78</v>
      </c>
      <c r="H15" s="112"/>
      <c r="I15" s="112"/>
      <c r="J15" s="112"/>
      <c r="K15" s="112"/>
      <c r="L15" s="112"/>
      <c r="M15" s="112"/>
    </row>
    <row r="16" customFormat="false" ht="14.25" hidden="false" customHeight="false" outlineLevel="0" collapsed="false">
      <c r="B16" s="110"/>
      <c r="C16" s="110"/>
      <c r="D16" s="110"/>
      <c r="E16" s="111"/>
      <c r="F16" s="111"/>
      <c r="G16" s="112" t="s">
        <v>79</v>
      </c>
      <c r="H16" s="112"/>
      <c r="I16" s="112"/>
      <c r="J16" s="113" t="s">
        <v>80</v>
      </c>
      <c r="K16" s="113"/>
      <c r="L16" s="113"/>
      <c r="M16" s="114" t="s">
        <v>81</v>
      </c>
    </row>
    <row r="17" customFormat="false" ht="14.25" hidden="false" customHeight="false" outlineLevel="0" collapsed="false">
      <c r="B17" s="116" t="s">
        <v>82</v>
      </c>
      <c r="C17" s="117" t="s">
        <v>83</v>
      </c>
      <c r="D17" s="117"/>
      <c r="E17" s="118" t="s">
        <v>83</v>
      </c>
      <c r="F17" s="118" t="s">
        <v>84</v>
      </c>
      <c r="G17" s="119" t="s">
        <v>85</v>
      </c>
      <c r="H17" s="118" t="s">
        <v>86</v>
      </c>
      <c r="I17" s="118"/>
      <c r="J17" s="121" t="s">
        <v>9</v>
      </c>
      <c r="K17" s="121"/>
      <c r="L17" s="121"/>
      <c r="M17" s="114"/>
    </row>
    <row r="18" customFormat="false" ht="14.25" hidden="false" customHeight="false" outlineLevel="0" collapsed="false">
      <c r="B18" s="116"/>
      <c r="C18" s="117"/>
      <c r="D18" s="117"/>
      <c r="E18" s="118"/>
      <c r="F18" s="118"/>
      <c r="G18" s="118" t="s">
        <v>87</v>
      </c>
      <c r="H18" s="118" t="n">
        <f aca="false">IF(AND(G18&gt;=8, G19&gt;=8), ROUND(((F18*G18) + (F19*G19)) / (F18 + F19), 2), 0)</f>
        <v>0</v>
      </c>
      <c r="I18" s="118" t="s">
        <v>84</v>
      </c>
      <c r="J18" s="122" t="s">
        <v>87</v>
      </c>
      <c r="K18" s="122" t="s">
        <v>87</v>
      </c>
      <c r="L18" s="121" t="s">
        <v>84</v>
      </c>
      <c r="M18" s="114"/>
    </row>
    <row r="19" customFormat="false" ht="16.5" hidden="false" customHeight="true" outlineLevel="0" collapsed="false">
      <c r="B19" s="116"/>
      <c r="C19" s="123" t="s">
        <v>88</v>
      </c>
      <c r="D19" s="172" t="s">
        <v>89</v>
      </c>
      <c r="E19" s="206" t="s">
        <v>90</v>
      </c>
      <c r="F19" s="126" t="n">
        <v>6</v>
      </c>
      <c r="G19" s="127" t="n">
        <f aca="false">'SEMESTRE N°5'!H16</f>
        <v>0</v>
      </c>
      <c r="H19" s="128" t="n">
        <f aca="false">IF(AND(G19&gt;=7, G20&gt;=7), ROUND(((F19*G19) + (F20*G20)) / (F19 + F20), 2), 0)</f>
        <v>0</v>
      </c>
      <c r="I19" s="128" t="n">
        <f aca="false">IF(H19&gt;9.99,(F19+F20),0)</f>
        <v>0</v>
      </c>
      <c r="J19" s="129"/>
      <c r="K19" s="129"/>
      <c r="L19" s="129"/>
      <c r="M19" s="128" t="str">
        <f aca="false">IF(H19&gt;9.99,"Validé","Non validé")</f>
        <v>Non validé</v>
      </c>
    </row>
    <row r="20" customFormat="false" ht="16.5" hidden="false" customHeight="true" outlineLevel="0" collapsed="false">
      <c r="B20" s="116"/>
      <c r="C20" s="123"/>
      <c r="D20" s="172"/>
      <c r="E20" s="174" t="s">
        <v>91</v>
      </c>
      <c r="F20" s="175" t="n">
        <v>3</v>
      </c>
      <c r="G20" s="176" t="n">
        <f aca="false">'SEMESTRE N°5'!L16</f>
        <v>0</v>
      </c>
      <c r="H20" s="128"/>
      <c r="I20" s="128"/>
      <c r="J20" s="132"/>
      <c r="K20" s="129"/>
      <c r="L20" s="129"/>
      <c r="M20" s="128"/>
    </row>
    <row r="21" customFormat="false" ht="16.5" hidden="false" customHeight="true" outlineLevel="0" collapsed="false">
      <c r="B21" s="116"/>
      <c r="C21" s="133" t="s">
        <v>92</v>
      </c>
      <c r="D21" s="177" t="s">
        <v>93</v>
      </c>
      <c r="E21" s="141" t="s">
        <v>12</v>
      </c>
      <c r="F21" s="142" t="n">
        <v>2</v>
      </c>
      <c r="G21" s="138" t="n">
        <f aca="false">'SEMESTRE N°5'!P16</f>
        <v>0</v>
      </c>
      <c r="H21" s="128" t="n">
        <f aca="false">IF(AND(G21&gt;=7, G22&gt;=7), ROUND(((F21*G21) + (F22*G22)) / (F21 + F22), 2), 0)</f>
        <v>0</v>
      </c>
      <c r="I21" s="128" t="n">
        <f aca="false">IF(H21&gt;9.99,(F21+F22),0)</f>
        <v>0</v>
      </c>
      <c r="J21" s="132"/>
      <c r="K21" s="132"/>
      <c r="L21" s="132"/>
      <c r="M21" s="128" t="str">
        <f aca="false">IF(H21&gt;9.99,"Validé","Non validé")</f>
        <v>Non validé</v>
      </c>
    </row>
    <row r="22" customFormat="false" ht="16.5" hidden="false" customHeight="true" outlineLevel="0" collapsed="false">
      <c r="B22" s="116"/>
      <c r="C22" s="133"/>
      <c r="D22" s="177"/>
      <c r="E22" s="174" t="s">
        <v>13</v>
      </c>
      <c r="F22" s="175" t="n">
        <v>3</v>
      </c>
      <c r="G22" s="176" t="n">
        <f aca="false">'SEMESTRE N°5'!T16</f>
        <v>0</v>
      </c>
      <c r="H22" s="128"/>
      <c r="I22" s="128"/>
      <c r="J22" s="132"/>
      <c r="K22" s="132"/>
      <c r="L22" s="132"/>
      <c r="M22" s="128"/>
    </row>
    <row r="23" customFormat="false" ht="16.5" hidden="false" customHeight="true" outlineLevel="0" collapsed="false">
      <c r="B23" s="116"/>
      <c r="C23" s="133" t="s">
        <v>94</v>
      </c>
      <c r="D23" s="207" t="s">
        <v>95</v>
      </c>
      <c r="E23" s="208" t="s">
        <v>14</v>
      </c>
      <c r="F23" s="142" t="n">
        <v>2</v>
      </c>
      <c r="G23" s="138" t="n">
        <f aca="false">'SEMESTRE N°5'!X16</f>
        <v>0</v>
      </c>
      <c r="H23" s="128" t="n">
        <f aca="false">IF(AND(G23&gt;=7, G25&gt;=7, G24&gt;=7), ROUND(((F23*G23) + (F25*G25)+ (F24*G24)) / (F23 + F25 + F24), 2), 0)</f>
        <v>0</v>
      </c>
      <c r="I23" s="128" t="n">
        <f aca="false">IF(H23&gt;9.99,(F23+F25+F24),0)</f>
        <v>0</v>
      </c>
      <c r="J23" s="132"/>
      <c r="K23" s="132"/>
      <c r="L23" s="132"/>
      <c r="M23" s="128" t="str">
        <f aca="false">IF(H23&gt;9.99,"Validé","Non validé")</f>
        <v>Non validé</v>
      </c>
    </row>
    <row r="24" customFormat="false" ht="16.5" hidden="false" customHeight="true" outlineLevel="0" collapsed="false">
      <c r="B24" s="116"/>
      <c r="C24" s="133"/>
      <c r="D24" s="207"/>
      <c r="E24" s="136" t="s">
        <v>15</v>
      </c>
      <c r="F24" s="137" t="n">
        <v>3</v>
      </c>
      <c r="G24" s="138" t="n">
        <f aca="false">'SEMESTRE N°5'!AB16</f>
        <v>0</v>
      </c>
      <c r="H24" s="128"/>
      <c r="I24" s="128"/>
      <c r="J24" s="132"/>
      <c r="K24" s="132"/>
      <c r="L24" s="132"/>
      <c r="M24" s="128"/>
    </row>
    <row r="25" customFormat="false" ht="16.5" hidden="false" customHeight="true" outlineLevel="0" collapsed="false">
      <c r="B25" s="116"/>
      <c r="C25" s="133"/>
      <c r="D25" s="207"/>
      <c r="E25" s="179" t="s">
        <v>16</v>
      </c>
      <c r="F25" s="175" t="n">
        <v>3</v>
      </c>
      <c r="G25" s="176" t="n">
        <f aca="false">'SEMESTRE N°5'!AF16</f>
        <v>0</v>
      </c>
      <c r="H25" s="128"/>
      <c r="I25" s="128"/>
      <c r="J25" s="132"/>
      <c r="K25" s="132"/>
      <c r="L25" s="132"/>
      <c r="M25" s="128"/>
    </row>
    <row r="26" customFormat="false" ht="14.25" hidden="false" customHeight="true" outlineLevel="0" collapsed="false">
      <c r="B26" s="116"/>
      <c r="C26" s="139" t="s">
        <v>96</v>
      </c>
      <c r="D26" s="140" t="s">
        <v>97</v>
      </c>
      <c r="E26" s="141" t="s">
        <v>98</v>
      </c>
      <c r="F26" s="142" t="n">
        <v>3</v>
      </c>
      <c r="G26" s="138" t="n">
        <f aca="false">'SEMESTRE N°5'!AJ16</f>
        <v>0</v>
      </c>
      <c r="H26" s="128" t="n">
        <f aca="false">IF(AND(G26&gt;=7, G27&gt;=7, G28&gt;=7), ROUND(((F26*G26) + (F27*G27)+ (F28*G28)) / (F26 + F27+F28), 2), 0)</f>
        <v>0</v>
      </c>
      <c r="I26" s="128" t="n">
        <f aca="false">IF(H26&gt;9.99,(F26+F27+F28),0)</f>
        <v>0</v>
      </c>
      <c r="J26" s="132"/>
      <c r="K26" s="132"/>
      <c r="L26" s="143"/>
      <c r="M26" s="128" t="str">
        <f aca="false">IF(H26&gt;9.99,"Validé","Non validé")</f>
        <v>Non validé</v>
      </c>
    </row>
    <row r="27" customFormat="false" ht="16.5" hidden="false" customHeight="true" outlineLevel="0" collapsed="false">
      <c r="B27" s="116"/>
      <c r="C27" s="139"/>
      <c r="D27" s="140"/>
      <c r="E27" s="134" t="s">
        <v>99</v>
      </c>
      <c r="F27" s="126" t="n">
        <v>3</v>
      </c>
      <c r="G27" s="127" t="n">
        <f aca="false">'SEMESTRE N°5'!AN16</f>
        <v>0</v>
      </c>
      <c r="H27" s="128"/>
      <c r="I27" s="128"/>
      <c r="J27" s="132"/>
      <c r="K27" s="132"/>
      <c r="L27" s="132"/>
      <c r="M27" s="128"/>
    </row>
    <row r="28" customFormat="false" ht="16.5" hidden="false" customHeight="true" outlineLevel="0" collapsed="false">
      <c r="B28" s="116"/>
      <c r="C28" s="139"/>
      <c r="D28" s="140"/>
      <c r="E28" s="134" t="s">
        <v>100</v>
      </c>
      <c r="F28" s="126" t="n">
        <v>2</v>
      </c>
      <c r="G28" s="127" t="n">
        <f aca="false">'SEMESTRE N°5'!AR16</f>
        <v>0</v>
      </c>
      <c r="H28" s="128"/>
      <c r="I28" s="128"/>
      <c r="J28" s="132"/>
      <c r="K28" s="132"/>
      <c r="L28" s="143"/>
      <c r="M28" s="128"/>
    </row>
    <row r="29" customFormat="false" ht="19.5" hidden="false" customHeight="true" outlineLevel="0" collapsed="false">
      <c r="B29" s="116"/>
      <c r="C29" s="144" t="s">
        <v>101</v>
      </c>
      <c r="D29" s="144"/>
      <c r="E29" s="144"/>
      <c r="F29" s="145" t="n">
        <f aca="false">SUM(F19:F28)</f>
        <v>30</v>
      </c>
      <c r="G29" s="180"/>
      <c r="H29" s="128" t="n">
        <f aca="false">ROUND((H19+H21+H23+H26)/4,2)</f>
        <v>0</v>
      </c>
      <c r="I29" s="181" t="n">
        <f aca="false">SUM(I19:I28)</f>
        <v>0</v>
      </c>
      <c r="J29" s="182"/>
      <c r="K29" s="182"/>
      <c r="L29" s="182"/>
      <c r="M29" s="182"/>
    </row>
    <row r="30" customFormat="false" ht="12" hidden="false" customHeight="true" outlineLevel="0" collapsed="false">
      <c r="C30" s="149"/>
      <c r="G30" s="149"/>
    </row>
    <row r="31" customFormat="false" ht="16.5" hidden="false" customHeight="true" outlineLevel="0" collapsed="false">
      <c r="A31" s="150"/>
      <c r="B31" s="151" t="s">
        <v>102</v>
      </c>
      <c r="C31" s="151"/>
      <c r="D31" s="152" t="n">
        <f aca="false">SUM(I19:I28)</f>
        <v>0</v>
      </c>
      <c r="E31" s="153"/>
      <c r="F31" s="154"/>
      <c r="G31" s="155"/>
      <c r="H31" s="156"/>
      <c r="I31" s="156"/>
      <c r="K31" s="157" t="s">
        <v>103</v>
      </c>
      <c r="L31" s="157"/>
      <c r="M31" s="157"/>
    </row>
    <row r="32" customFormat="false" ht="15" hidden="false" customHeight="false" outlineLevel="0" collapsed="false">
      <c r="A32" s="150"/>
      <c r="B32" s="151" t="s">
        <v>104</v>
      </c>
      <c r="C32" s="151"/>
      <c r="D32" s="158" t="str">
        <f aca="false">IF(D31=F29,"Semestre validé","Semestre non validé")</f>
        <v>Semestre non validé</v>
      </c>
      <c r="E32" s="154"/>
      <c r="F32" s="154"/>
      <c r="G32" s="159"/>
      <c r="K32" s="160"/>
      <c r="L32" s="154"/>
    </row>
    <row r="33" customFormat="false" ht="14.25" hidden="false" customHeight="false" outlineLevel="0" collapsed="false">
      <c r="A33" s="150"/>
      <c r="B33" s="151" t="s">
        <v>105</v>
      </c>
      <c r="C33" s="151"/>
      <c r="D33" s="161" t="n">
        <v>0</v>
      </c>
      <c r="E33" s="154"/>
      <c r="F33" s="154"/>
      <c r="G33" s="159"/>
      <c r="H33" s="154"/>
      <c r="I33" s="154"/>
      <c r="J33" s="154"/>
    </row>
    <row r="34" customFormat="false" ht="14.25" hidden="false" customHeight="false" outlineLevel="0" collapsed="false">
      <c r="B34" s="10"/>
      <c r="C34" s="10"/>
      <c r="D34" s="161"/>
      <c r="E34" s="154"/>
      <c r="F34" s="154"/>
      <c r="G34" s="159"/>
      <c r="H34" s="154"/>
      <c r="I34" s="154"/>
      <c r="J34" s="154"/>
    </row>
    <row r="35" customFormat="false" ht="16.5" hidden="false" customHeight="true" outlineLevel="0" collapsed="false">
      <c r="B35" s="10"/>
      <c r="C35" s="10"/>
      <c r="D35" s="161"/>
      <c r="E35" s="154"/>
      <c r="F35" s="154"/>
      <c r="G35" s="159"/>
      <c r="H35" s="154"/>
      <c r="I35" s="154"/>
      <c r="J35" s="154"/>
    </row>
    <row r="36" customFormat="false" ht="16.5" hidden="false" customHeight="true" outlineLevel="0" collapsed="false">
      <c r="C36" s="149"/>
      <c r="H36" s="209" t="s">
        <v>106</v>
      </c>
      <c r="I36" s="209"/>
      <c r="J36" s="209"/>
      <c r="K36" s="209"/>
      <c r="L36" s="209"/>
      <c r="M36" s="209"/>
    </row>
    <row r="37" customFormat="false" ht="16.5" hidden="false" customHeight="true" outlineLevel="0" collapsed="false">
      <c r="B37" s="205" t="s">
        <v>107</v>
      </c>
      <c r="C37" s="205"/>
      <c r="D37" s="205"/>
      <c r="E37" s="205"/>
      <c r="F37" s="205"/>
      <c r="G37" s="205"/>
      <c r="H37" s="205"/>
      <c r="I37" s="205"/>
      <c r="J37" s="205"/>
      <c r="K37" s="205"/>
      <c r="L37" s="205"/>
      <c r="M37" s="205"/>
    </row>
    <row r="38" customFormat="false" ht="11.25" hidden="false" customHeight="true" outlineLevel="0" collapsed="false">
      <c r="B38" s="205"/>
      <c r="C38" s="205"/>
      <c r="D38" s="205"/>
      <c r="E38" s="205"/>
      <c r="F38" s="205"/>
      <c r="G38" s="205"/>
      <c r="H38" s="205"/>
      <c r="I38" s="205"/>
      <c r="J38" s="205"/>
      <c r="K38" s="205"/>
      <c r="L38" s="205"/>
      <c r="M38" s="205"/>
    </row>
    <row r="42" customFormat="false" ht="12.75" hidden="false" customHeight="true" outlineLevel="0" collapsed="false"/>
    <row r="43" customFormat="false" ht="12.75" hidden="true" customHeight="true" outlineLevel="0" collapsed="false">
      <c r="A43" s="2" t="s">
        <v>112</v>
      </c>
    </row>
    <row r="44" customFormat="false" ht="14.25" hidden="true" customHeight="false" outlineLevel="0" collapsed="false">
      <c r="A44" s="97" t="s">
        <v>116</v>
      </c>
    </row>
  </sheetData>
  <mergeCells count="59">
    <mergeCell ref="E5:M8"/>
    <mergeCell ref="B9:M9"/>
    <mergeCell ref="C11:E11"/>
    <mergeCell ref="G11:L11"/>
    <mergeCell ref="B12:C12"/>
    <mergeCell ref="D12:E12"/>
    <mergeCell ref="G12:L12"/>
    <mergeCell ref="C13:E13"/>
    <mergeCell ref="G13:L13"/>
    <mergeCell ref="C14:E14"/>
    <mergeCell ref="G14:L14"/>
    <mergeCell ref="B15:D16"/>
    <mergeCell ref="E15:F16"/>
    <mergeCell ref="G15:M15"/>
    <mergeCell ref="G16:I16"/>
    <mergeCell ref="J16:L16"/>
    <mergeCell ref="M16:M18"/>
    <mergeCell ref="B17:B29"/>
    <mergeCell ref="C17:D18"/>
    <mergeCell ref="E17:E18"/>
    <mergeCell ref="F17:F18"/>
    <mergeCell ref="H17:I17"/>
    <mergeCell ref="J17:L17"/>
    <mergeCell ref="C19:C20"/>
    <mergeCell ref="D19:D20"/>
    <mergeCell ref="H19:H20"/>
    <mergeCell ref="I19:I20"/>
    <mergeCell ref="K19:K20"/>
    <mergeCell ref="L19:L20"/>
    <mergeCell ref="M19:M20"/>
    <mergeCell ref="C21:C22"/>
    <mergeCell ref="D21:D22"/>
    <mergeCell ref="H21:H22"/>
    <mergeCell ref="I21:I22"/>
    <mergeCell ref="K21:K22"/>
    <mergeCell ref="L21:L22"/>
    <mergeCell ref="M21:M22"/>
    <mergeCell ref="C23:C25"/>
    <mergeCell ref="D23:D25"/>
    <mergeCell ref="H23:H25"/>
    <mergeCell ref="I23:I25"/>
    <mergeCell ref="K23:K25"/>
    <mergeCell ref="L23:L25"/>
    <mergeCell ref="M23:M25"/>
    <mergeCell ref="C26:C28"/>
    <mergeCell ref="D26:D28"/>
    <mergeCell ref="H26:H28"/>
    <mergeCell ref="I26:I28"/>
    <mergeCell ref="K26:K28"/>
    <mergeCell ref="L26:L28"/>
    <mergeCell ref="M26:M28"/>
    <mergeCell ref="C29:E29"/>
    <mergeCell ref="J29:M29"/>
    <mergeCell ref="B31:C31"/>
    <mergeCell ref="K31:M31"/>
    <mergeCell ref="B32:C32"/>
    <mergeCell ref="B33:C33"/>
    <mergeCell ref="H36:M36"/>
    <mergeCell ref="B37:M38"/>
  </mergeCells>
  <printOptions headings="false" gridLines="false" gridLinesSet="true" horizontalCentered="false" verticalCentered="false"/>
  <pageMargins left="0" right="0" top="0" bottom="0" header="0.511811023622047" footer="0.511811023622047"/>
  <pageSetup paperSize="9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7030A0"/>
    <pageSetUpPr fitToPage="false"/>
  </sheetPr>
  <dimension ref="A4:N43"/>
  <sheetViews>
    <sheetView showFormulas="false" showGridLines="false" showRowColHeaders="true" showZeros="true" rightToLeft="false" tabSelected="true" showOutlineSymbols="true" defaultGridColor="true" view="normal" topLeftCell="A12" colorId="64" zoomScale="100" zoomScaleNormal="100" zoomScalePageLayoutView="100" workbookViewId="0">
      <selection pane="topLeft" activeCell="M33" activeCellId="0" sqref="M33"/>
    </sheetView>
  </sheetViews>
  <sheetFormatPr defaultColWidth="10.890625" defaultRowHeight="14.25" customHeight="false" zeroHeight="false" outlineLevelRow="0" outlineLevelCol="0"/>
  <cols>
    <col collapsed="false" customWidth="true" hidden="false" outlineLevel="0" max="1" min="1" style="97" width="3"/>
    <col collapsed="false" customWidth="false" hidden="false" outlineLevel="0" max="2" min="2" style="97" width="10.89"/>
    <col collapsed="false" customWidth="true" hidden="false" outlineLevel="0" max="3" min="3" style="97" width="10.67"/>
    <col collapsed="false" customWidth="true" hidden="false" outlineLevel="0" max="4" min="4" style="97" width="20.45"/>
    <col collapsed="false" customWidth="true" hidden="false" outlineLevel="0" max="5" min="5" style="97" width="28.67"/>
    <col collapsed="false" customWidth="true" hidden="false" outlineLevel="0" max="6" min="6" style="97" width="11.67"/>
    <col collapsed="false" customWidth="true" hidden="false" outlineLevel="0" max="9" min="7" style="97" width="7.67"/>
    <col collapsed="false" customWidth="true" hidden="false" outlineLevel="0" max="10" min="10" style="97" width="7.55"/>
    <col collapsed="false" customWidth="true" hidden="false" outlineLevel="0" max="11" min="11" style="97" width="6.56"/>
    <col collapsed="false" customWidth="true" hidden="false" outlineLevel="0" max="12" min="12" style="97" width="7.33"/>
    <col collapsed="false" customWidth="true" hidden="false" outlineLevel="0" max="13" min="13" style="97" width="10.67"/>
    <col collapsed="false" customWidth="true" hidden="false" outlineLevel="0" max="14" min="14" style="97" width="4.11"/>
    <col collapsed="false" customWidth="false" hidden="false" outlineLevel="0" max="16384" min="15" style="97" width="10.89"/>
  </cols>
  <sheetData>
    <row r="4" customFormat="false" ht="14.25" hidden="false" customHeight="false" outlineLevel="0" collapsed="false">
      <c r="E4" s="195"/>
      <c r="F4" s="195"/>
      <c r="G4" s="195"/>
      <c r="H4" s="195"/>
      <c r="I4" s="195"/>
      <c r="J4" s="195"/>
      <c r="K4" s="195"/>
      <c r="L4" s="195"/>
      <c r="M4" s="195"/>
    </row>
    <row r="5" customFormat="false" ht="14.25" hidden="false" customHeight="true" outlineLevel="0" collapsed="false">
      <c r="E5" s="186" t="s">
        <v>110</v>
      </c>
      <c r="F5" s="186"/>
      <c r="G5" s="186"/>
      <c r="H5" s="186"/>
      <c r="I5" s="186"/>
      <c r="J5" s="186"/>
      <c r="K5" s="186"/>
      <c r="L5" s="186"/>
      <c r="M5" s="186"/>
    </row>
    <row r="6" customFormat="false" ht="14.25" hidden="false" customHeight="false" outlineLevel="0" collapsed="false">
      <c r="E6" s="186"/>
      <c r="F6" s="186"/>
      <c r="G6" s="186"/>
      <c r="H6" s="186"/>
      <c r="I6" s="186"/>
      <c r="J6" s="186"/>
      <c r="K6" s="186"/>
      <c r="L6" s="186"/>
      <c r="M6" s="186"/>
    </row>
    <row r="7" customFormat="false" ht="14.25" hidden="false" customHeight="false" outlineLevel="0" collapsed="false">
      <c r="E7" s="186"/>
      <c r="F7" s="186"/>
      <c r="G7" s="186"/>
      <c r="H7" s="186"/>
      <c r="I7" s="186"/>
      <c r="J7" s="186"/>
      <c r="K7" s="186"/>
      <c r="L7" s="186"/>
      <c r="M7" s="186"/>
    </row>
    <row r="8" customFormat="false" ht="14.25" hidden="false" customHeight="false" outlineLevel="0" collapsed="false">
      <c r="E8" s="186"/>
      <c r="F8" s="186"/>
      <c r="G8" s="186"/>
      <c r="H8" s="186"/>
      <c r="I8" s="186"/>
      <c r="J8" s="186"/>
      <c r="K8" s="186"/>
      <c r="L8" s="186"/>
      <c r="M8" s="186"/>
    </row>
    <row r="9" customFormat="false" ht="18" hidden="false" customHeight="true" outlineLevel="0" collapsed="false">
      <c r="A9" s="99"/>
      <c r="B9" s="100" t="s">
        <v>64</v>
      </c>
      <c r="C9" s="100"/>
      <c r="D9" s="100"/>
      <c r="E9" s="100"/>
      <c r="F9" s="100"/>
      <c r="G9" s="100"/>
      <c r="H9" s="100"/>
      <c r="I9" s="100"/>
      <c r="J9" s="100"/>
      <c r="K9" s="100"/>
      <c r="L9" s="100"/>
      <c r="M9" s="100"/>
      <c r="N9" s="99"/>
    </row>
    <row r="10" customFormat="false" ht="11.25" hidden="false" customHeight="true" outlineLevel="0" collapsed="false">
      <c r="B10" s="101"/>
      <c r="C10" s="101"/>
      <c r="D10" s="101"/>
      <c r="E10" s="101"/>
      <c r="F10" s="101"/>
      <c r="G10" s="101"/>
      <c r="H10" s="101"/>
      <c r="I10" s="101"/>
      <c r="J10" s="101"/>
      <c r="K10" s="101"/>
      <c r="L10" s="101"/>
    </row>
    <row r="11" customFormat="false" ht="15" hidden="false" customHeight="true" outlineLevel="0" collapsed="false">
      <c r="B11" s="103" t="s">
        <v>65</v>
      </c>
      <c r="C11" s="108" t="n">
        <f aca="false">'SEMESTRE N°5'!A17</f>
        <v>0</v>
      </c>
      <c r="D11" s="108"/>
      <c r="E11" s="108"/>
      <c r="F11" s="103" t="s">
        <v>66</v>
      </c>
      <c r="G11" s="105" t="s">
        <v>67</v>
      </c>
      <c r="H11" s="105"/>
      <c r="I11" s="105"/>
      <c r="J11" s="105"/>
      <c r="K11" s="105"/>
      <c r="L11" s="105"/>
    </row>
    <row r="12" customFormat="false" ht="15" hidden="false" customHeight="true" outlineLevel="0" collapsed="false">
      <c r="B12" s="106" t="s">
        <v>68</v>
      </c>
      <c r="C12" s="106"/>
      <c r="D12" s="166" t="str">
        <f aca="false">'SEMESTRE N°5'!B17</f>
        <v>14/09/2004</v>
      </c>
      <c r="E12" s="166"/>
      <c r="F12" s="103" t="s">
        <v>69</v>
      </c>
      <c r="G12" s="167" t="s">
        <v>70</v>
      </c>
      <c r="H12" s="167"/>
      <c r="I12" s="167"/>
      <c r="J12" s="167"/>
      <c r="K12" s="167"/>
      <c r="L12" s="167"/>
    </row>
    <row r="13" customFormat="false" ht="15" hidden="false" customHeight="true" outlineLevel="0" collapsed="false">
      <c r="B13" s="103" t="s">
        <v>71</v>
      </c>
      <c r="C13" s="108" t="str">
        <f aca="false">'SEMESTRE N°5'!C17</f>
        <v>Gabonaise</v>
      </c>
      <c r="D13" s="108"/>
      <c r="E13" s="108"/>
      <c r="F13" s="103" t="s">
        <v>72</v>
      </c>
      <c r="G13" s="167" t="s">
        <v>109</v>
      </c>
      <c r="H13" s="167"/>
      <c r="I13" s="167"/>
      <c r="J13" s="167"/>
      <c r="K13" s="167"/>
      <c r="L13" s="167"/>
    </row>
    <row r="14" customFormat="false" ht="15" hidden="false" customHeight="true" outlineLevel="0" collapsed="false">
      <c r="B14" s="103" t="s">
        <v>73</v>
      </c>
      <c r="C14" s="167" t="n">
        <f aca="false">'SEMESTRE N°5'!D17</f>
        <v>312022</v>
      </c>
      <c r="D14" s="167"/>
      <c r="E14" s="167"/>
      <c r="F14" s="103" t="s">
        <v>74</v>
      </c>
      <c r="G14" s="168" t="s">
        <v>75</v>
      </c>
      <c r="H14" s="168"/>
      <c r="I14" s="168"/>
      <c r="J14" s="168"/>
      <c r="K14" s="168"/>
      <c r="L14" s="168"/>
    </row>
    <row r="15" customFormat="false" ht="14.25" hidden="false" customHeight="false" outlineLevel="0" collapsed="false">
      <c r="B15" s="110" t="s">
        <v>76</v>
      </c>
      <c r="C15" s="110"/>
      <c r="D15" s="110"/>
      <c r="E15" s="111" t="s">
        <v>77</v>
      </c>
      <c r="F15" s="111"/>
      <c r="G15" s="112" t="s">
        <v>78</v>
      </c>
      <c r="H15" s="112"/>
      <c r="I15" s="112"/>
      <c r="J15" s="112"/>
      <c r="K15" s="112"/>
      <c r="L15" s="112"/>
      <c r="M15" s="112"/>
    </row>
    <row r="16" customFormat="false" ht="14.25" hidden="false" customHeight="false" outlineLevel="0" collapsed="false">
      <c r="B16" s="110"/>
      <c r="C16" s="110"/>
      <c r="D16" s="110"/>
      <c r="E16" s="111"/>
      <c r="F16" s="111"/>
      <c r="G16" s="112" t="s">
        <v>79</v>
      </c>
      <c r="H16" s="112"/>
      <c r="I16" s="112"/>
      <c r="J16" s="113" t="s">
        <v>80</v>
      </c>
      <c r="K16" s="113"/>
      <c r="L16" s="113"/>
      <c r="M16" s="114" t="s">
        <v>81</v>
      </c>
    </row>
    <row r="17" customFormat="false" ht="14.25" hidden="false" customHeight="false" outlineLevel="0" collapsed="false">
      <c r="B17" s="116" t="s">
        <v>82</v>
      </c>
      <c r="C17" s="117" t="s">
        <v>83</v>
      </c>
      <c r="D17" s="117"/>
      <c r="E17" s="118" t="s">
        <v>83</v>
      </c>
      <c r="F17" s="118" t="s">
        <v>84</v>
      </c>
      <c r="G17" s="119" t="s">
        <v>85</v>
      </c>
      <c r="H17" s="118" t="s">
        <v>86</v>
      </c>
      <c r="I17" s="118"/>
      <c r="J17" s="121" t="s">
        <v>9</v>
      </c>
      <c r="K17" s="121"/>
      <c r="L17" s="121"/>
      <c r="M17" s="114"/>
    </row>
    <row r="18" customFormat="false" ht="14.25" hidden="false" customHeight="false" outlineLevel="0" collapsed="false">
      <c r="B18" s="116"/>
      <c r="C18" s="117"/>
      <c r="D18" s="117"/>
      <c r="E18" s="118"/>
      <c r="F18" s="118"/>
      <c r="G18" s="118" t="s">
        <v>87</v>
      </c>
      <c r="H18" s="118" t="n">
        <f aca="false">IF(AND(G18&gt;=8, G19&gt;=8), ROUND(((F18*G18) + (F19*G19)) / (F18 + F19), 2), 0)</f>
        <v>0</v>
      </c>
      <c r="I18" s="118" t="s">
        <v>84</v>
      </c>
      <c r="J18" s="122" t="s">
        <v>87</v>
      </c>
      <c r="K18" s="122" t="s">
        <v>87</v>
      </c>
      <c r="L18" s="121" t="s">
        <v>84</v>
      </c>
      <c r="M18" s="114"/>
    </row>
    <row r="19" customFormat="false" ht="16.5" hidden="false" customHeight="true" outlineLevel="0" collapsed="false">
      <c r="B19" s="116"/>
      <c r="C19" s="123" t="s">
        <v>88</v>
      </c>
      <c r="D19" s="172" t="s">
        <v>89</v>
      </c>
      <c r="E19" s="206" t="s">
        <v>90</v>
      </c>
      <c r="F19" s="126" t="n">
        <v>6</v>
      </c>
      <c r="G19" s="127" t="n">
        <f aca="false">'SEMESTRE N°5'!H17</f>
        <v>0</v>
      </c>
      <c r="H19" s="128" t="n">
        <f aca="false">IF(AND(G19&gt;=7, G20&gt;=7), ROUND(((F19*G19) + (F20*G20)) / (F19 + F20), 2), 0)</f>
        <v>0</v>
      </c>
      <c r="I19" s="128" t="n">
        <f aca="false">IF(H19&gt;9.99,(F19+F20),0)</f>
        <v>0</v>
      </c>
      <c r="J19" s="129"/>
      <c r="K19" s="129"/>
      <c r="L19" s="129"/>
      <c r="M19" s="128" t="str">
        <f aca="false">IF(H19&gt;9.99,"Validé","Non validé")</f>
        <v>Non validé</v>
      </c>
    </row>
    <row r="20" customFormat="false" ht="16.5" hidden="false" customHeight="true" outlineLevel="0" collapsed="false">
      <c r="B20" s="116"/>
      <c r="C20" s="123"/>
      <c r="D20" s="172"/>
      <c r="E20" s="174" t="s">
        <v>91</v>
      </c>
      <c r="F20" s="175" t="n">
        <v>3</v>
      </c>
      <c r="G20" s="176" t="n">
        <f aca="false">'SEMESTRE N°5'!L17</f>
        <v>0</v>
      </c>
      <c r="H20" s="128"/>
      <c r="I20" s="128"/>
      <c r="J20" s="132"/>
      <c r="K20" s="129"/>
      <c r="L20" s="129"/>
      <c r="M20" s="128"/>
    </row>
    <row r="21" customFormat="false" ht="16.5" hidden="false" customHeight="true" outlineLevel="0" collapsed="false">
      <c r="B21" s="116"/>
      <c r="C21" s="133" t="s">
        <v>92</v>
      </c>
      <c r="D21" s="177" t="s">
        <v>93</v>
      </c>
      <c r="E21" s="141" t="s">
        <v>12</v>
      </c>
      <c r="F21" s="142" t="n">
        <v>2</v>
      </c>
      <c r="G21" s="138" t="n">
        <f aca="false">'SEMESTRE N°5'!P17</f>
        <v>0</v>
      </c>
      <c r="H21" s="128" t="n">
        <f aca="false">IF(AND(G21&gt;=7, G22&gt;=7), ROUND(((F21*G21) + (F22*G22)) / (F21 + F22), 2), 0)</f>
        <v>0</v>
      </c>
      <c r="I21" s="128" t="n">
        <f aca="false">IF(H21&gt;9.99,(F21+F22),0)</f>
        <v>0</v>
      </c>
      <c r="J21" s="132"/>
      <c r="K21" s="132"/>
      <c r="L21" s="132"/>
      <c r="M21" s="128" t="str">
        <f aca="false">IF(H21&gt;9.99,"Validé","Non validé")</f>
        <v>Non validé</v>
      </c>
    </row>
    <row r="22" customFormat="false" ht="16.5" hidden="false" customHeight="true" outlineLevel="0" collapsed="false">
      <c r="B22" s="116"/>
      <c r="C22" s="133"/>
      <c r="D22" s="177"/>
      <c r="E22" s="174" t="s">
        <v>13</v>
      </c>
      <c r="F22" s="175" t="n">
        <v>3</v>
      </c>
      <c r="G22" s="176" t="n">
        <f aca="false">'SEMESTRE N°5'!T17</f>
        <v>0</v>
      </c>
      <c r="H22" s="128"/>
      <c r="I22" s="128"/>
      <c r="J22" s="132"/>
      <c r="K22" s="132"/>
      <c r="L22" s="132"/>
      <c r="M22" s="128"/>
    </row>
    <row r="23" customFormat="false" ht="16.5" hidden="false" customHeight="true" outlineLevel="0" collapsed="false">
      <c r="B23" s="116"/>
      <c r="C23" s="133" t="s">
        <v>94</v>
      </c>
      <c r="D23" s="207" t="s">
        <v>95</v>
      </c>
      <c r="E23" s="208" t="s">
        <v>14</v>
      </c>
      <c r="F23" s="142" t="n">
        <v>2</v>
      </c>
      <c r="G23" s="138" t="n">
        <f aca="false">'SEMESTRE N°5'!X17</f>
        <v>0</v>
      </c>
      <c r="H23" s="128" t="n">
        <f aca="false">IF(AND(G23&gt;=7, G25&gt;=7, G24&gt;=7), ROUND(((F23*G23) + (F25*G25)+ (F24*G24)) / (F23 + F25 + F24), 2), 0)</f>
        <v>0</v>
      </c>
      <c r="I23" s="128" t="n">
        <f aca="false">IF(H23&gt;9.99,(F23+F25+F24),0)</f>
        <v>0</v>
      </c>
      <c r="J23" s="132"/>
      <c r="K23" s="132"/>
      <c r="L23" s="132"/>
      <c r="M23" s="128" t="str">
        <f aca="false">IF(H23&gt;9.99,"Validé","Non validé")</f>
        <v>Non validé</v>
      </c>
    </row>
    <row r="24" customFormat="false" ht="16.5" hidden="false" customHeight="true" outlineLevel="0" collapsed="false">
      <c r="B24" s="116"/>
      <c r="C24" s="133"/>
      <c r="D24" s="207"/>
      <c r="E24" s="136" t="s">
        <v>15</v>
      </c>
      <c r="F24" s="137" t="n">
        <v>3</v>
      </c>
      <c r="G24" s="138" t="n">
        <f aca="false">'SEMESTRE N°5'!AB17</f>
        <v>0</v>
      </c>
      <c r="H24" s="128"/>
      <c r="I24" s="128"/>
      <c r="J24" s="132"/>
      <c r="K24" s="132"/>
      <c r="L24" s="132"/>
      <c r="M24" s="128"/>
    </row>
    <row r="25" customFormat="false" ht="16.5" hidden="false" customHeight="true" outlineLevel="0" collapsed="false">
      <c r="B25" s="116"/>
      <c r="C25" s="133"/>
      <c r="D25" s="207"/>
      <c r="E25" s="179" t="s">
        <v>16</v>
      </c>
      <c r="F25" s="175" t="n">
        <v>3</v>
      </c>
      <c r="G25" s="176" t="n">
        <f aca="false">'SEMESTRE N°5'!AF17</f>
        <v>0</v>
      </c>
      <c r="H25" s="128"/>
      <c r="I25" s="128"/>
      <c r="J25" s="132"/>
      <c r="K25" s="132"/>
      <c r="L25" s="132"/>
      <c r="M25" s="128"/>
    </row>
    <row r="26" customFormat="false" ht="16.5" hidden="false" customHeight="true" outlineLevel="0" collapsed="false">
      <c r="B26" s="116"/>
      <c r="C26" s="139" t="s">
        <v>96</v>
      </c>
      <c r="D26" s="140" t="s">
        <v>97</v>
      </c>
      <c r="E26" s="141" t="s">
        <v>98</v>
      </c>
      <c r="F26" s="142" t="n">
        <v>3</v>
      </c>
      <c r="G26" s="138" t="n">
        <f aca="false">'SEMESTRE N°5'!AJ17</f>
        <v>0</v>
      </c>
      <c r="H26" s="128" t="n">
        <f aca="false">IF(AND(G26&gt;=7, G27&gt;=7, G28&gt;=7), ROUND(((F26*G26) + (F27*G27)+ (F28*G28)) / (F26 + F27+F28), 2), 0)</f>
        <v>0</v>
      </c>
      <c r="I26" s="128" t="n">
        <f aca="false">IF(H26&gt;9.99,(F26+F27+F28),0)</f>
        <v>0</v>
      </c>
      <c r="J26" s="132"/>
      <c r="K26" s="132"/>
      <c r="L26" s="143"/>
      <c r="M26" s="128" t="str">
        <f aca="false">IF(H26&gt;9.99,"Validé","Non validé")</f>
        <v>Non validé</v>
      </c>
    </row>
    <row r="27" customFormat="false" ht="16.5" hidden="false" customHeight="true" outlineLevel="0" collapsed="false">
      <c r="B27" s="116"/>
      <c r="C27" s="139"/>
      <c r="D27" s="140"/>
      <c r="E27" s="134" t="s">
        <v>99</v>
      </c>
      <c r="F27" s="126" t="n">
        <v>3</v>
      </c>
      <c r="G27" s="127" t="n">
        <f aca="false">'SEMESTRE N°5'!AN17</f>
        <v>0</v>
      </c>
      <c r="H27" s="128"/>
      <c r="I27" s="128"/>
      <c r="J27" s="132"/>
      <c r="K27" s="132"/>
      <c r="L27" s="132"/>
      <c r="M27" s="128"/>
    </row>
    <row r="28" customFormat="false" ht="16.5" hidden="false" customHeight="true" outlineLevel="0" collapsed="false">
      <c r="B28" s="116"/>
      <c r="C28" s="139"/>
      <c r="D28" s="140"/>
      <c r="E28" s="134" t="s">
        <v>100</v>
      </c>
      <c r="F28" s="126" t="n">
        <v>2</v>
      </c>
      <c r="G28" s="127" t="n">
        <f aca="false">'SEMESTRE N°5'!AR17</f>
        <v>0</v>
      </c>
      <c r="H28" s="128"/>
      <c r="I28" s="128"/>
      <c r="J28" s="132"/>
      <c r="K28" s="132"/>
      <c r="L28" s="143"/>
      <c r="M28" s="128"/>
    </row>
    <row r="29" customFormat="false" ht="19.5" hidden="false" customHeight="true" outlineLevel="0" collapsed="false">
      <c r="B29" s="116"/>
      <c r="C29" s="144" t="s">
        <v>101</v>
      </c>
      <c r="D29" s="144"/>
      <c r="E29" s="144"/>
      <c r="F29" s="145" t="n">
        <f aca="false">SUM(F19:F28)</f>
        <v>30</v>
      </c>
      <c r="G29" s="180"/>
      <c r="H29" s="128" t="n">
        <f aca="false">ROUND((H19+H21+H23+H26)/4,2)</f>
        <v>0</v>
      </c>
      <c r="I29" s="181" t="n">
        <f aca="false">SUM(I19:I28)</f>
        <v>0</v>
      </c>
      <c r="J29" s="182"/>
      <c r="K29" s="182"/>
      <c r="L29" s="182"/>
      <c r="M29" s="182"/>
    </row>
    <row r="30" customFormat="false" ht="12" hidden="false" customHeight="true" outlineLevel="0" collapsed="false">
      <c r="C30" s="149"/>
      <c r="G30" s="149"/>
    </row>
    <row r="31" customFormat="false" ht="16.5" hidden="false" customHeight="true" outlineLevel="0" collapsed="false">
      <c r="A31" s="150"/>
      <c r="B31" s="151" t="s">
        <v>102</v>
      </c>
      <c r="C31" s="151"/>
      <c r="D31" s="152" t="n">
        <f aca="false">SUM(I19:I28)</f>
        <v>0</v>
      </c>
      <c r="E31" s="153"/>
      <c r="F31" s="154"/>
      <c r="G31" s="155"/>
      <c r="H31" s="156"/>
      <c r="I31" s="156"/>
      <c r="K31" s="157" t="s">
        <v>103</v>
      </c>
      <c r="L31" s="157"/>
      <c r="M31" s="157"/>
    </row>
    <row r="32" customFormat="false" ht="16.5" hidden="false" customHeight="true" outlineLevel="0" collapsed="false">
      <c r="A32" s="150"/>
      <c r="B32" s="151" t="s">
        <v>104</v>
      </c>
      <c r="C32" s="151"/>
      <c r="D32" s="158" t="str">
        <f aca="false">IF(D31=F29,"Semestre validé","Semestre non validé")</f>
        <v>Semestre non validé</v>
      </c>
      <c r="E32" s="154"/>
      <c r="F32" s="154"/>
      <c r="G32" s="159"/>
      <c r="K32" s="160"/>
      <c r="L32" s="154"/>
    </row>
    <row r="33" customFormat="false" ht="16.5" hidden="false" customHeight="true" outlineLevel="0" collapsed="false">
      <c r="A33" s="150"/>
      <c r="B33" s="151" t="s">
        <v>105</v>
      </c>
      <c r="C33" s="151"/>
      <c r="D33" s="161" t="n">
        <v>0</v>
      </c>
      <c r="E33" s="154"/>
      <c r="F33" s="154"/>
      <c r="G33" s="159"/>
      <c r="H33" s="154"/>
      <c r="I33" s="154"/>
      <c r="J33" s="154"/>
    </row>
    <row r="34" customFormat="false" ht="16.5" hidden="false" customHeight="true" outlineLevel="0" collapsed="false">
      <c r="B34" s="10"/>
      <c r="C34" s="10"/>
      <c r="D34" s="161"/>
      <c r="E34" s="154"/>
      <c r="F34" s="154"/>
      <c r="G34" s="159"/>
      <c r="H34" s="154"/>
      <c r="I34" s="154"/>
      <c r="J34" s="154"/>
    </row>
    <row r="35" customFormat="false" ht="16.5" hidden="false" customHeight="true" outlineLevel="0" collapsed="false">
      <c r="C35" s="149"/>
      <c r="G35" s="163" t="s">
        <v>106</v>
      </c>
      <c r="H35" s="163"/>
      <c r="I35" s="163"/>
      <c r="J35" s="163"/>
      <c r="K35" s="163"/>
      <c r="L35" s="163"/>
      <c r="M35" s="163"/>
    </row>
    <row r="36" customFormat="false" ht="16.5" hidden="false" customHeight="true" outlineLevel="0" collapsed="false">
      <c r="B36" s="205" t="s">
        <v>107</v>
      </c>
      <c r="C36" s="205"/>
      <c r="D36" s="205"/>
      <c r="E36" s="205"/>
      <c r="F36" s="205"/>
      <c r="G36" s="205"/>
      <c r="H36" s="205"/>
      <c r="I36" s="205"/>
      <c r="J36" s="205"/>
      <c r="K36" s="205"/>
      <c r="L36" s="205"/>
      <c r="M36" s="205"/>
    </row>
    <row r="37" customFormat="false" ht="11.25" hidden="false" customHeight="true" outlineLevel="0" collapsed="false">
      <c r="B37" s="205"/>
      <c r="C37" s="205"/>
      <c r="D37" s="205"/>
      <c r="E37" s="205"/>
      <c r="F37" s="205"/>
      <c r="G37" s="205"/>
      <c r="H37" s="205"/>
      <c r="I37" s="205"/>
      <c r="J37" s="205"/>
      <c r="K37" s="205"/>
      <c r="L37" s="205"/>
      <c r="M37" s="205"/>
    </row>
    <row r="41" customFormat="false" ht="12.75" hidden="false" customHeight="true" outlineLevel="0" collapsed="false"/>
    <row r="42" customFormat="false" ht="12.75" hidden="true" customHeight="true" outlineLevel="0" collapsed="false">
      <c r="A42" s="2" t="s">
        <v>112</v>
      </c>
    </row>
    <row r="43" customFormat="false" ht="14.25" hidden="true" customHeight="false" outlineLevel="0" collapsed="false">
      <c r="A43" s="97" t="s">
        <v>116</v>
      </c>
    </row>
  </sheetData>
  <mergeCells count="59">
    <mergeCell ref="E5:M8"/>
    <mergeCell ref="B9:M9"/>
    <mergeCell ref="C11:E11"/>
    <mergeCell ref="G11:L11"/>
    <mergeCell ref="B12:C12"/>
    <mergeCell ref="D12:E12"/>
    <mergeCell ref="G12:L12"/>
    <mergeCell ref="C13:E13"/>
    <mergeCell ref="G13:L13"/>
    <mergeCell ref="C14:E14"/>
    <mergeCell ref="G14:L14"/>
    <mergeCell ref="B15:D16"/>
    <mergeCell ref="E15:F16"/>
    <mergeCell ref="G15:M15"/>
    <mergeCell ref="G16:I16"/>
    <mergeCell ref="J16:L16"/>
    <mergeCell ref="M16:M18"/>
    <mergeCell ref="B17:B29"/>
    <mergeCell ref="C17:D18"/>
    <mergeCell ref="E17:E18"/>
    <mergeCell ref="F17:F18"/>
    <mergeCell ref="H17:I17"/>
    <mergeCell ref="J17:L17"/>
    <mergeCell ref="C19:C20"/>
    <mergeCell ref="D19:D20"/>
    <mergeCell ref="H19:H20"/>
    <mergeCell ref="I19:I20"/>
    <mergeCell ref="K19:K20"/>
    <mergeCell ref="L19:L20"/>
    <mergeCell ref="M19:M20"/>
    <mergeCell ref="C21:C22"/>
    <mergeCell ref="D21:D22"/>
    <mergeCell ref="H21:H22"/>
    <mergeCell ref="I21:I22"/>
    <mergeCell ref="K21:K22"/>
    <mergeCell ref="L21:L22"/>
    <mergeCell ref="M21:M22"/>
    <mergeCell ref="C23:C25"/>
    <mergeCell ref="D23:D25"/>
    <mergeCell ref="H23:H25"/>
    <mergeCell ref="I23:I25"/>
    <mergeCell ref="K23:K25"/>
    <mergeCell ref="L23:L25"/>
    <mergeCell ref="M23:M25"/>
    <mergeCell ref="C26:C28"/>
    <mergeCell ref="D26:D28"/>
    <mergeCell ref="H26:H28"/>
    <mergeCell ref="I26:I28"/>
    <mergeCell ref="K26:K28"/>
    <mergeCell ref="L26:L28"/>
    <mergeCell ref="M26:M28"/>
    <mergeCell ref="C29:E29"/>
    <mergeCell ref="J29:M29"/>
    <mergeCell ref="B31:C31"/>
    <mergeCell ref="K31:M31"/>
    <mergeCell ref="B32:C32"/>
    <mergeCell ref="B33:C33"/>
    <mergeCell ref="G35:M35"/>
    <mergeCell ref="B36:M37"/>
  </mergeCells>
  <printOptions headings="false" gridLines="false" gridLinesSet="true" horizontalCentered="false" verticalCentered="false"/>
  <pageMargins left="0" right="0" top="0" bottom="0" header="0.511811023622047" footer="0.511811023622047"/>
  <pageSetup paperSize="9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FF0000"/>
    <pageSetUpPr fitToPage="false"/>
  </sheetPr>
  <dimension ref="A8:N43"/>
  <sheetViews>
    <sheetView showFormulas="false" showGridLines="false" showRowColHeaders="true" showZeros="true" rightToLeft="false" tabSelected="false" showOutlineSymbols="true" defaultGridColor="true" view="normal" topLeftCell="A28" colorId="64" zoomScale="100" zoomScaleNormal="100" zoomScalePageLayoutView="100" workbookViewId="0">
      <selection pane="topLeft" activeCell="A43" activeCellId="0" sqref="A43"/>
    </sheetView>
  </sheetViews>
  <sheetFormatPr defaultColWidth="10.890625" defaultRowHeight="14.25" customHeight="false" zeroHeight="false" outlineLevelRow="0" outlineLevelCol="0"/>
  <cols>
    <col collapsed="false" customWidth="true" hidden="false" outlineLevel="0" max="1" min="1" style="97" width="6.67"/>
    <col collapsed="false" customWidth="false" hidden="false" outlineLevel="0" max="2" min="2" style="97" width="10.89"/>
    <col collapsed="false" customWidth="true" hidden="false" outlineLevel="0" max="3" min="3" style="97" width="8.89"/>
    <col collapsed="false" customWidth="true" hidden="false" outlineLevel="0" max="4" min="4" style="97" width="16.45"/>
    <col collapsed="false" customWidth="true" hidden="false" outlineLevel="0" max="5" min="5" style="97" width="28.33"/>
    <col collapsed="false" customWidth="true" hidden="false" outlineLevel="0" max="6" min="6" style="97" width="11.55"/>
    <col collapsed="false" customWidth="true" hidden="false" outlineLevel="0" max="7" min="7" style="97" width="7.89"/>
    <col collapsed="false" customWidth="true" hidden="false" outlineLevel="0" max="8" min="8" style="97" width="7"/>
    <col collapsed="false" customWidth="true" hidden="false" outlineLevel="0" max="9" min="9" style="97" width="7.45"/>
    <col collapsed="false" customWidth="true" hidden="false" outlineLevel="0" max="10" min="10" style="97" width="10.11"/>
    <col collapsed="false" customWidth="true" hidden="false" outlineLevel="0" max="11" min="11" style="97" width="9.66"/>
    <col collapsed="false" customWidth="true" hidden="false" outlineLevel="0" max="12" min="12" style="97" width="11.55"/>
    <col collapsed="false" customWidth="false" hidden="false" outlineLevel="0" max="13" min="13" style="97" width="10.89"/>
    <col collapsed="false" customWidth="true" hidden="false" outlineLevel="0" max="14" min="14" style="97" width="4.11"/>
    <col collapsed="false" customWidth="false" hidden="false" outlineLevel="0" max="16384" min="15" style="97" width="10.89"/>
  </cols>
  <sheetData>
    <row r="8" customFormat="false" ht="18" hidden="false" customHeight="true" outlineLevel="0" collapsed="false">
      <c r="A8" s="210" t="s">
        <v>119</v>
      </c>
      <c r="B8" s="210"/>
      <c r="C8" s="210"/>
      <c r="D8" s="210"/>
      <c r="E8" s="210"/>
      <c r="F8" s="210"/>
      <c r="G8" s="210"/>
      <c r="H8" s="210"/>
      <c r="I8" s="210"/>
      <c r="J8" s="210"/>
      <c r="K8" s="210"/>
      <c r="L8" s="210"/>
      <c r="M8" s="210"/>
      <c r="N8" s="210"/>
    </row>
    <row r="9" customFormat="false" ht="18" hidden="false" customHeight="true" outlineLevel="0" collapsed="false">
      <c r="B9" s="101"/>
      <c r="C9" s="101"/>
      <c r="D9" s="101"/>
      <c r="E9" s="101"/>
      <c r="F9" s="101"/>
      <c r="G9" s="101"/>
      <c r="H9" s="101"/>
      <c r="I9" s="101"/>
      <c r="J9" s="101"/>
      <c r="K9" s="101"/>
      <c r="L9" s="101"/>
    </row>
    <row r="10" customFormat="false" ht="28.35" hidden="false" customHeight="false" outlineLevel="0" collapsed="false">
      <c r="B10" s="103" t="s">
        <v>120</v>
      </c>
      <c r="C10" s="211" t="str">
        <f aca="false">'SEMESTRE N°5'!A14</f>
        <v>OTSAGHE Joseph Alexandre</v>
      </c>
      <c r="D10" s="211"/>
      <c r="E10" s="211"/>
      <c r="F10" s="103" t="s">
        <v>121</v>
      </c>
      <c r="G10" s="212" t="str">
        <f aca="false">A43</f>
        <v>Licence Pro. Informatique-2ème année Tronc commu</v>
      </c>
      <c r="H10" s="212"/>
      <c r="I10" s="212"/>
      <c r="J10" s="212"/>
      <c r="K10" s="212"/>
      <c r="L10" s="212"/>
    </row>
    <row r="11" customFormat="false" ht="14.25" hidden="false" customHeight="true" outlineLevel="0" collapsed="false">
      <c r="B11" s="106" t="s">
        <v>122</v>
      </c>
      <c r="C11" s="106"/>
      <c r="D11" s="213" t="str">
        <f aca="false">'SEMESTRE N°5'!B14</f>
        <v>21/11/1999</v>
      </c>
      <c r="E11" s="213"/>
      <c r="F11" s="103" t="s">
        <v>32</v>
      </c>
      <c r="G11" s="212" t="n">
        <f aca="false">'SEMESTRE N°5'!E14</f>
        <v>0</v>
      </c>
      <c r="H11" s="212"/>
      <c r="I11" s="212"/>
      <c r="J11" s="212"/>
      <c r="K11" s="212"/>
      <c r="L11" s="212"/>
    </row>
    <row r="12" customFormat="false" ht="28.35" hidden="false" customHeight="false" outlineLevel="0" collapsed="false">
      <c r="B12" s="103" t="s">
        <v>123</v>
      </c>
      <c r="C12" s="211" t="str">
        <f aca="false">'SEMESTRE N°5'!C14</f>
        <v>Gabonaise</v>
      </c>
      <c r="D12" s="211"/>
      <c r="E12" s="211"/>
      <c r="F12" s="103" t="s">
        <v>124</v>
      </c>
      <c r="G12" s="214"/>
      <c r="H12" s="214"/>
      <c r="I12" s="214"/>
      <c r="J12" s="214"/>
      <c r="K12" s="214"/>
      <c r="L12" s="214"/>
    </row>
    <row r="13" customFormat="false" ht="28.35" hidden="false" customHeight="false" outlineLevel="0" collapsed="false">
      <c r="B13" s="103" t="s">
        <v>125</v>
      </c>
      <c r="C13" s="215" t="n">
        <f aca="false">'SEMESTRE N°5'!D14</f>
        <v>342024</v>
      </c>
      <c r="D13" s="215"/>
      <c r="E13" s="215"/>
      <c r="F13" s="103" t="s">
        <v>126</v>
      </c>
      <c r="G13" s="214"/>
      <c r="H13" s="214"/>
      <c r="I13" s="214"/>
      <c r="J13" s="214"/>
      <c r="K13" s="214"/>
      <c r="L13" s="214"/>
    </row>
    <row r="14" customFormat="false" ht="14.25" hidden="false" customHeight="false" outlineLevel="0" collapsed="false">
      <c r="B14" s="110" t="s">
        <v>76</v>
      </c>
      <c r="C14" s="110"/>
      <c r="D14" s="110"/>
      <c r="E14" s="111" t="s">
        <v>9</v>
      </c>
      <c r="F14" s="111"/>
      <c r="G14" s="216" t="s">
        <v>78</v>
      </c>
      <c r="H14" s="216"/>
      <c r="I14" s="216"/>
      <c r="J14" s="216"/>
      <c r="K14" s="216"/>
      <c r="L14" s="216"/>
    </row>
    <row r="15" customFormat="false" ht="14.25" hidden="false" customHeight="false" outlineLevel="0" collapsed="false">
      <c r="B15" s="110"/>
      <c r="C15" s="110"/>
      <c r="D15" s="110"/>
      <c r="E15" s="111"/>
      <c r="F15" s="111"/>
      <c r="G15" s="112" t="s">
        <v>127</v>
      </c>
      <c r="H15" s="112"/>
      <c r="I15" s="112"/>
      <c r="J15" s="217" t="s">
        <v>80</v>
      </c>
      <c r="K15" s="217"/>
      <c r="L15" s="216" t="s">
        <v>81</v>
      </c>
    </row>
    <row r="16" customFormat="false" ht="14.25" hidden="false" customHeight="false" outlineLevel="0" collapsed="false">
      <c r="B16" s="218" t="s">
        <v>128</v>
      </c>
      <c r="C16" s="117" t="s">
        <v>83</v>
      </c>
      <c r="D16" s="117"/>
      <c r="E16" s="118" t="s">
        <v>83</v>
      </c>
      <c r="F16" s="118" t="s">
        <v>84</v>
      </c>
      <c r="G16" s="119" t="s">
        <v>85</v>
      </c>
      <c r="H16" s="118" t="s">
        <v>86</v>
      </c>
      <c r="I16" s="118"/>
      <c r="J16" s="118" t="s">
        <v>9</v>
      </c>
      <c r="K16" s="118"/>
      <c r="L16" s="216"/>
    </row>
    <row r="17" customFormat="false" ht="14.25" hidden="false" customHeight="false" outlineLevel="0" collapsed="false">
      <c r="B17" s="218"/>
      <c r="C17" s="117"/>
      <c r="D17" s="117"/>
      <c r="E17" s="118"/>
      <c r="F17" s="118"/>
      <c r="G17" s="118" t="s">
        <v>87</v>
      </c>
      <c r="H17" s="118" t="s">
        <v>87</v>
      </c>
      <c r="I17" s="118" t="s">
        <v>84</v>
      </c>
      <c r="J17" s="118" t="s">
        <v>87</v>
      </c>
      <c r="K17" s="118" t="s">
        <v>84</v>
      </c>
      <c r="L17" s="216"/>
    </row>
    <row r="18" customFormat="false" ht="17.25" hidden="false" customHeight="true" outlineLevel="0" collapsed="false">
      <c r="B18" s="218"/>
      <c r="C18" s="219" t="s">
        <v>129</v>
      </c>
      <c r="D18" s="220" t="s">
        <v>130</v>
      </c>
      <c r="E18" s="221" t="s">
        <v>131</v>
      </c>
      <c r="F18" s="126" t="n">
        <v>3</v>
      </c>
      <c r="G18" s="222" t="n">
        <f aca="false">'SEMESTRE N°5'!H14</f>
        <v>1.6</v>
      </c>
      <c r="H18" s="223" t="n">
        <f aca="false">ROUND((F18*G18+F19*G19)/(F18+F19),2)</f>
        <v>6.45</v>
      </c>
      <c r="I18" s="223" t="n">
        <f aca="false">IF(H18&gt;9.99,(F18+F19),0)</f>
        <v>0</v>
      </c>
      <c r="J18" s="132"/>
      <c r="K18" s="132"/>
      <c r="L18" s="224" t="str">
        <f aca="false">IF(H18&gt;10,"Validé","Non validé")</f>
        <v>Non validé</v>
      </c>
    </row>
    <row r="19" customFormat="false" ht="18.75" hidden="false" customHeight="true" outlineLevel="0" collapsed="false">
      <c r="B19" s="218"/>
      <c r="C19" s="219"/>
      <c r="D19" s="220"/>
      <c r="E19" s="221" t="s">
        <v>132</v>
      </c>
      <c r="F19" s="126" t="n">
        <v>3</v>
      </c>
      <c r="G19" s="222" t="n">
        <f aca="false">'SEMESTRE N°5'!L14</f>
        <v>11.3</v>
      </c>
      <c r="H19" s="223"/>
      <c r="I19" s="223"/>
      <c r="J19" s="132"/>
      <c r="K19" s="132"/>
      <c r="L19" s="224"/>
    </row>
    <row r="20" customFormat="false" ht="14.25" hidden="false" customHeight="true" outlineLevel="0" collapsed="false">
      <c r="B20" s="218"/>
      <c r="C20" s="225" t="s">
        <v>133</v>
      </c>
      <c r="D20" s="220" t="s">
        <v>134</v>
      </c>
      <c r="E20" s="221" t="s">
        <v>135</v>
      </c>
      <c r="F20" s="126" t="n">
        <v>5</v>
      </c>
      <c r="G20" s="222" t="n">
        <f aca="false">'SEMESTRE N°5'!P14</f>
        <v>10.6</v>
      </c>
      <c r="H20" s="223" t="e">
        <f aca="false">ROUND((F20*G20+F21*G21+F22*G22)/(F20+F21+F22),2)</f>
        <v>#VALUE!</v>
      </c>
      <c r="I20" s="223" t="e">
        <f aca="false">IF(H20&gt;9.99,(F20+F21+F22),0)</f>
        <v>#VALUE!</v>
      </c>
      <c r="J20" s="132"/>
      <c r="K20" s="132"/>
      <c r="L20" s="224" t="e">
        <f aca="false">IF(H20&gt;10,"Validé","Non validé")</f>
        <v>#VALUE!</v>
      </c>
    </row>
    <row r="21" customFormat="false" ht="14.25" hidden="false" customHeight="false" outlineLevel="0" collapsed="false">
      <c r="B21" s="218"/>
      <c r="C21" s="225"/>
      <c r="D21" s="220"/>
      <c r="E21" s="221" t="s">
        <v>99</v>
      </c>
      <c r="F21" s="126" t="n">
        <v>3</v>
      </c>
      <c r="G21" s="222" t="n">
        <f aca="false">'SEMESTRE N°5'!T14</f>
        <v>12.7</v>
      </c>
      <c r="H21" s="223"/>
      <c r="I21" s="223"/>
      <c r="J21" s="132"/>
      <c r="K21" s="132"/>
      <c r="L21" s="224"/>
    </row>
    <row r="22" customFormat="false" ht="15" hidden="false" customHeight="true" outlineLevel="0" collapsed="false">
      <c r="B22" s="218"/>
      <c r="C22" s="225"/>
      <c r="D22" s="220"/>
      <c r="E22" s="221" t="s">
        <v>136</v>
      </c>
      <c r="F22" s="126" t="n">
        <v>3</v>
      </c>
      <c r="G22" s="222" t="e">
        <f aca="false">'semestre n°5'!#ref!</f>
        <v>#VALUE!</v>
      </c>
      <c r="H22" s="223"/>
      <c r="I22" s="223"/>
      <c r="J22" s="132"/>
      <c r="K22" s="132"/>
      <c r="L22" s="224"/>
    </row>
    <row r="23" customFormat="false" ht="18" hidden="false" customHeight="true" outlineLevel="0" collapsed="false">
      <c r="B23" s="218"/>
      <c r="C23" s="219" t="s">
        <v>137</v>
      </c>
      <c r="D23" s="220" t="s">
        <v>138</v>
      </c>
      <c r="E23" s="221" t="s">
        <v>139</v>
      </c>
      <c r="F23" s="126" t="n">
        <v>4</v>
      </c>
      <c r="G23" s="222" t="n">
        <f aca="false">'SEMESTRE N°5'!AF14</f>
        <v>11.864</v>
      </c>
      <c r="H23" s="223" t="e">
        <f aca="false">ROUND((G23*F23+G24*F24)/(F23+F24),2)</f>
        <v>#VALUE!</v>
      </c>
      <c r="I23" s="223" t="e">
        <f aca="false">IF(H23&gt;9.99,(F23+F24),0)</f>
        <v>#VALUE!</v>
      </c>
      <c r="J23" s="132"/>
      <c r="K23" s="132"/>
      <c r="L23" s="224" t="e">
        <f aca="false">IF(H23&gt;9.99,"Validé","Non validé")</f>
        <v>#VALUE!</v>
      </c>
    </row>
    <row r="24" customFormat="false" ht="19.5" hidden="false" customHeight="true" outlineLevel="0" collapsed="false">
      <c r="B24" s="218"/>
      <c r="C24" s="219"/>
      <c r="D24" s="220"/>
      <c r="E24" s="221" t="s">
        <v>140</v>
      </c>
      <c r="F24" s="126" t="n">
        <v>4</v>
      </c>
      <c r="G24" s="222" t="e">
        <f aca="false">'semestre n°5'!#ref!</f>
        <v>#VALUE!</v>
      </c>
      <c r="H24" s="223"/>
      <c r="I24" s="223"/>
      <c r="J24" s="132"/>
      <c r="K24" s="132"/>
      <c r="L24" s="224"/>
    </row>
    <row r="25" customFormat="false" ht="17.25" hidden="false" customHeight="true" outlineLevel="0" collapsed="false">
      <c r="B25" s="218"/>
      <c r="C25" s="225" t="s">
        <v>141</v>
      </c>
      <c r="D25" s="220" t="s">
        <v>134</v>
      </c>
      <c r="E25" s="221" t="s">
        <v>142</v>
      </c>
      <c r="F25" s="126" t="n">
        <v>2</v>
      </c>
      <c r="G25" s="222" t="e">
        <f aca="false">'semestre n°5'!#ref!</f>
        <v>#VALUE!</v>
      </c>
      <c r="H25" s="223" t="e">
        <f aca="false">ROUND((G25*F25+G26*F26)/(F25+F26),2)</f>
        <v>#VALUE!</v>
      </c>
      <c r="I25" s="223" t="e">
        <f aca="false">IF(H25&gt;9.99,(F25+F26),0)</f>
        <v>#VALUE!</v>
      </c>
      <c r="J25" s="132"/>
      <c r="K25" s="132"/>
      <c r="L25" s="224" t="e">
        <f aca="false">IF(H25&gt;0,"Validé","Non validé")</f>
        <v>#VALUE!</v>
      </c>
    </row>
    <row r="26" customFormat="false" ht="17.25" hidden="false" customHeight="true" outlineLevel="0" collapsed="false">
      <c r="B26" s="218"/>
      <c r="C26" s="225"/>
      <c r="D26" s="220"/>
      <c r="E26" s="221" t="s">
        <v>143</v>
      </c>
      <c r="F26" s="126" t="n">
        <v>3</v>
      </c>
      <c r="G26" s="222" t="n">
        <f aca="false">'SEMESTRE N°5'!AJ14</f>
        <v>10.3</v>
      </c>
      <c r="H26" s="223"/>
      <c r="I26" s="223"/>
      <c r="J26" s="132"/>
      <c r="K26" s="132"/>
      <c r="L26" s="224"/>
    </row>
    <row r="27" customFormat="false" ht="14.25" hidden="false" customHeight="false" outlineLevel="0" collapsed="false">
      <c r="B27" s="218"/>
      <c r="C27" s="226" t="s">
        <v>101</v>
      </c>
      <c r="D27" s="226"/>
      <c r="E27" s="226"/>
      <c r="F27" s="145" t="n">
        <f aca="false">F18+F19+F20+F21+F22+F23+F24+F25+F26</f>
        <v>30</v>
      </c>
      <c r="G27" s="146"/>
      <c r="H27" s="223" t="e">
        <f aca="false">ROUND((H18+H20+H23+H25)/4,2)</f>
        <v>#VALUE!</v>
      </c>
      <c r="I27" s="227" t="e">
        <f aca="false">I25+I23+I20+I18</f>
        <v>#VALUE!</v>
      </c>
      <c r="J27" s="148"/>
      <c r="K27" s="148"/>
      <c r="L27" s="148"/>
    </row>
    <row r="28" customFormat="false" ht="14.25" hidden="false" customHeight="false" outlineLevel="0" collapsed="false">
      <c r="C28" s="149"/>
      <c r="G28" s="149"/>
    </row>
    <row r="29" customFormat="false" ht="17.35" hidden="false" customHeight="false" outlineLevel="0" collapsed="false">
      <c r="A29" s="150"/>
      <c r="B29" s="228" t="s">
        <v>102</v>
      </c>
      <c r="C29" s="228"/>
      <c r="D29" s="229" t="e">
        <f aca="false">I18+I20+I23+I25</f>
        <v>#VALUE!</v>
      </c>
      <c r="E29" s="153"/>
      <c r="F29" s="154"/>
      <c r="G29" s="155"/>
      <c r="H29" s="156"/>
      <c r="I29" s="156"/>
    </row>
    <row r="30" customFormat="false" ht="15" hidden="false" customHeight="false" outlineLevel="0" collapsed="false">
      <c r="A30" s="150"/>
      <c r="B30" s="198" t="s">
        <v>104</v>
      </c>
      <c r="C30" s="198"/>
      <c r="D30" s="230" t="e">
        <f aca="false">IF(D29=F27,"Semestre validé","Semestre non validé")</f>
        <v>#VALUE!</v>
      </c>
      <c r="E30" s="154"/>
      <c r="F30" s="154"/>
      <c r="G30" s="159"/>
      <c r="H30" s="231" t="s">
        <v>103</v>
      </c>
      <c r="I30" s="231"/>
      <c r="J30" s="231"/>
      <c r="K30" s="231"/>
      <c r="L30" s="154"/>
    </row>
    <row r="31" customFormat="false" ht="14.25" hidden="false" customHeight="false" outlineLevel="0" collapsed="false">
      <c r="A31" s="150"/>
      <c r="B31" s="198" t="s">
        <v>105</v>
      </c>
      <c r="C31" s="198"/>
      <c r="D31" s="161" t="n">
        <v>0</v>
      </c>
      <c r="E31" s="154"/>
      <c r="F31" s="154"/>
      <c r="G31" s="159"/>
      <c r="H31" s="154"/>
      <c r="I31" s="154"/>
      <c r="J31" s="154"/>
    </row>
    <row r="32" customFormat="false" ht="14.25" hidden="false" customHeight="false" outlineLevel="0" collapsed="false">
      <c r="C32" s="159"/>
      <c r="D32" s="154"/>
      <c r="E32" s="154"/>
      <c r="F32" s="154"/>
      <c r="G32" s="159"/>
      <c r="H32" s="154"/>
      <c r="I32" s="154"/>
      <c r="J32" s="154"/>
    </row>
    <row r="33" customFormat="false" ht="17.35" hidden="false" customHeight="false" outlineLevel="0" collapsed="false">
      <c r="C33" s="159"/>
      <c r="D33" s="154"/>
      <c r="E33" s="154"/>
      <c r="F33" s="154"/>
      <c r="G33" s="232"/>
      <c r="H33" s="154"/>
      <c r="I33" s="154"/>
      <c r="J33" s="154"/>
    </row>
    <row r="34" customFormat="false" ht="14.25" hidden="false" customHeight="false" outlineLevel="0" collapsed="false">
      <c r="C34" s="149"/>
      <c r="G34" s="149"/>
    </row>
    <row r="35" customFormat="false" ht="17.35" hidden="false" customHeight="false" outlineLevel="0" collapsed="false">
      <c r="G35" s="233" t="s">
        <v>106</v>
      </c>
      <c r="H35" s="233"/>
      <c r="I35" s="233"/>
      <c r="J35" s="233"/>
      <c r="K35" s="233"/>
      <c r="L35" s="233"/>
    </row>
    <row r="36" customFormat="false" ht="14.25" hidden="true" customHeight="false" outlineLevel="0" collapsed="false">
      <c r="B36" s="234" t="s">
        <v>144</v>
      </c>
    </row>
    <row r="38" customFormat="false" ht="14.25" hidden="false" customHeight="true" outlineLevel="0" collapsed="false">
      <c r="B38" s="235" t="s">
        <v>107</v>
      </c>
      <c r="C38" s="235"/>
      <c r="D38" s="235"/>
      <c r="E38" s="235"/>
      <c r="F38" s="235"/>
      <c r="G38" s="235"/>
      <c r="H38" s="235"/>
      <c r="I38" s="235"/>
      <c r="J38" s="235"/>
      <c r="K38" s="235"/>
      <c r="L38" s="235"/>
    </row>
    <row r="39" customFormat="false" ht="14.25" hidden="false" customHeight="false" outlineLevel="0" collapsed="false">
      <c r="B39" s="235"/>
      <c r="C39" s="235"/>
      <c r="D39" s="235"/>
      <c r="E39" s="235"/>
      <c r="F39" s="235"/>
      <c r="G39" s="235"/>
      <c r="H39" s="235"/>
      <c r="I39" s="235"/>
      <c r="J39" s="235"/>
      <c r="K39" s="235"/>
      <c r="L39" s="235"/>
    </row>
    <row r="41" customFormat="false" ht="13.5" hidden="false" customHeight="true" outlineLevel="0" collapsed="false"/>
    <row r="42" customFormat="false" ht="14.25" hidden="true" customHeight="false" outlineLevel="0" collapsed="false"/>
    <row r="43" customFormat="false" ht="29.25" hidden="false" customHeight="true" outlineLevel="0" collapsed="false">
      <c r="A43" s="97" t="s">
        <v>145</v>
      </c>
    </row>
  </sheetData>
  <mergeCells count="53">
    <mergeCell ref="A8:N8"/>
    <mergeCell ref="C10:E10"/>
    <mergeCell ref="G10:L10"/>
    <mergeCell ref="B11:C11"/>
    <mergeCell ref="D11:E11"/>
    <mergeCell ref="G11:L11"/>
    <mergeCell ref="C12:E12"/>
    <mergeCell ref="G12:L12"/>
    <mergeCell ref="C13:E13"/>
    <mergeCell ref="G13:L13"/>
    <mergeCell ref="B14:D15"/>
    <mergeCell ref="E14:F15"/>
    <mergeCell ref="G14:L14"/>
    <mergeCell ref="G15:I15"/>
    <mergeCell ref="L15:L17"/>
    <mergeCell ref="B16:B27"/>
    <mergeCell ref="C16:D17"/>
    <mergeCell ref="E16:E17"/>
    <mergeCell ref="F16:F17"/>
    <mergeCell ref="H16:I16"/>
    <mergeCell ref="J16:K16"/>
    <mergeCell ref="C18:C19"/>
    <mergeCell ref="D18:D19"/>
    <mergeCell ref="H18:H19"/>
    <mergeCell ref="I18:I19"/>
    <mergeCell ref="K18:K19"/>
    <mergeCell ref="L18:L19"/>
    <mergeCell ref="C20:C22"/>
    <mergeCell ref="D20:D22"/>
    <mergeCell ref="H20:H22"/>
    <mergeCell ref="I20:I22"/>
    <mergeCell ref="K20:K22"/>
    <mergeCell ref="L20:L22"/>
    <mergeCell ref="C23:C24"/>
    <mergeCell ref="D23:D24"/>
    <mergeCell ref="H23:H24"/>
    <mergeCell ref="I23:I24"/>
    <mergeCell ref="K23:K24"/>
    <mergeCell ref="L23:L24"/>
    <mergeCell ref="C25:C26"/>
    <mergeCell ref="D25:D26"/>
    <mergeCell ref="H25:H26"/>
    <mergeCell ref="I25:I26"/>
    <mergeCell ref="K25:K26"/>
    <mergeCell ref="L25:L26"/>
    <mergeCell ref="C27:E27"/>
    <mergeCell ref="J27:L27"/>
    <mergeCell ref="B29:C29"/>
    <mergeCell ref="B30:C30"/>
    <mergeCell ref="H30:K30"/>
    <mergeCell ref="B31:C31"/>
    <mergeCell ref="G35:L35"/>
    <mergeCell ref="B38:L39"/>
  </mergeCells>
  <printOptions headings="false" gridLines="false" gridLinesSet="true" horizontalCentered="false" verticalCentered="false"/>
  <pageMargins left="0" right="0" top="0" bottom="0" header="0.511811023622047" footer="0.511811023622047"/>
  <pageSetup paperSize="9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21</TotalTime>
  <Application>LibreOffice/25.8.6.2$Linux_X86_64 LibreOffice_project/580$Build-2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2022-12-12T14:09:35Z</dcterms:created>
  <dc:creator>LENOVO</dc:creator>
  <dc:description/>
  <dc:language>fr-FR</dc:language>
  <cp:lastModifiedBy/>
  <cp:lastPrinted>2025-10-01T15:58:17Z</cp:lastPrinted>
  <dcterms:modified xsi:type="dcterms:W3CDTF">2026-06-11T16:35:51Z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