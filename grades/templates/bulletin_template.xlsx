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 codeName="{DD97A8EA-9A9A-E61F-A557-7D5A7D7259CE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NOVO\Dropbox\ESIITECH\ESIITECH 2024-2025\RELEVE ET BULLETIN DE NOTE 2023-2024\TRONC COMMUN\RELEVE TRONC COMMUN 1- 2024-2025\RATTRAPAGE 2024-2025\RN°1\"/>
    </mc:Choice>
  </mc:AlternateContent>
  <xr:revisionPtr revIDLastSave="0" documentId="13_ncr:1_{812EBB74-2462-4EDF-BCAB-FE70933BF988}" xr6:coauthVersionLast="47" xr6:coauthVersionMax="47" xr10:uidLastSave="{00000000-0000-0000-0000-000000000000}"/>
  <bookViews>
    <workbookView minimized="1" xWindow="5292" yWindow="3708" windowWidth="17280" windowHeight="8880" tabRatio="772" firstSheet="17" activeTab="17" xr2:uid="{13D88BEA-A6DC-42EA-8959-631615DA7048}"/>
  </bookViews>
  <sheets>
    <sheet name="SEMESTRE N°1" sheetId="1" r:id="rId1"/>
    <sheet name="BULL_N0" sheetId="4" r:id="rId2"/>
    <sheet name="BULL_N1" sheetId="5" r:id="rId3"/>
    <sheet name="BULL_N2" sheetId="8" state="hidden" r:id="rId4"/>
    <sheet name="BULL_N3" sheetId="10" r:id="rId5"/>
    <sheet name="BULL_N4" sheetId="11" r:id="rId6"/>
    <sheet name="BULL_N5" sheetId="12" r:id="rId7"/>
    <sheet name="BULL_N6" sheetId="13" r:id="rId8"/>
    <sheet name="BULL_N7" sheetId="14" state="hidden" r:id="rId9"/>
    <sheet name="BULL_N8" sheetId="15" state="hidden" r:id="rId10"/>
    <sheet name="BULL_N9" sheetId="27" r:id="rId11"/>
    <sheet name="BULL_N10" sheetId="28" state="hidden" r:id="rId12"/>
    <sheet name="BULL_N11" sheetId="29" r:id="rId13"/>
    <sheet name="BULL_N12" sheetId="30" r:id="rId14"/>
    <sheet name="BULL_N13" sheetId="31" state="hidden" r:id="rId15"/>
    <sheet name="BULL_N14" sheetId="32" r:id="rId16"/>
    <sheet name="BULL_N15" sheetId="33" r:id="rId17"/>
    <sheet name="BULL_N16" sheetId="34" r:id="rId18"/>
    <sheet name="BULL_N17" sheetId="16" r:id="rId19"/>
    <sheet name="BULL_N18" sheetId="17" r:id="rId20"/>
    <sheet name="BULL_N19" sheetId="18" state="hidden" r:id="rId21"/>
    <sheet name="BULL_N20" sheetId="19" r:id="rId22"/>
    <sheet name="BULL_N21" sheetId="20" r:id="rId23"/>
    <sheet name="BULL_N22" sheetId="21" r:id="rId24"/>
    <sheet name="BULL_N23" sheetId="22" r:id="rId25"/>
    <sheet name="BULL_N24" sheetId="23" r:id="rId26"/>
    <sheet name="BULL_N25" sheetId="24" state="hidden" r:id="rId27"/>
    <sheet name="BULL_N26" sheetId="25" state="hidden" r:id="rId28"/>
    <sheet name="BULL_N27" sheetId="26" r:id="rId29"/>
    <sheet name="BULL_N28" sheetId="35" r:id="rId30"/>
    <sheet name="BULL_N29" sheetId="36" r:id="rId31"/>
    <sheet name="BULL_N30" sheetId="37" r:id="rId32"/>
    <sheet name="BULL_N31" sheetId="38" state="hidden" r:id="rId33"/>
    <sheet name="BULL_N32" sheetId="39" state="hidden" r:id="rId34"/>
    <sheet name="BULL_N33" sheetId="40" state="hidden" r:id="rId35"/>
    <sheet name="BULL_N34" sheetId="41" state="hidden" r:id="rId36"/>
    <sheet name="BULL_N35" sheetId="42" state="hidden" r:id="rId37"/>
    <sheet name="BULL_N36" sheetId="43" state="hidden" r:id="rId38"/>
    <sheet name="BULL_N37" sheetId="44" state="hidden" r:id="rId39"/>
    <sheet name="BULL_N38" sheetId="45" state="hidden" r:id="rId40"/>
    <sheet name="BULL_N39" sheetId="46" state="hidden" r:id="rId41"/>
    <sheet name="BULL_N40" sheetId="47" state="hidden" r:id="rId42"/>
  </sheets>
  <externalReferences>
    <externalReference r:id="rId43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6" i="17" l="1"/>
  <c r="M24" i="17"/>
  <c r="M21" i="17"/>
  <c r="M19" i="17"/>
  <c r="J19" i="36"/>
  <c r="D12" i="35"/>
  <c r="D12" i="37"/>
  <c r="D12" i="36"/>
  <c r="D12" i="26"/>
  <c r="D12" i="23"/>
  <c r="D12" i="22"/>
  <c r="D12" i="21"/>
  <c r="D12" i="16"/>
  <c r="D12" i="34"/>
  <c r="D12" i="33"/>
  <c r="D12" i="32"/>
  <c r="D12" i="29"/>
  <c r="D12" i="27"/>
  <c r="D12" i="12"/>
  <c r="D12" i="11"/>
  <c r="D12" i="10"/>
  <c r="D12" i="5"/>
  <c r="D12" i="13"/>
  <c r="G20" i="28" l="1"/>
  <c r="G21" i="28"/>
  <c r="G22" i="28"/>
  <c r="G23" i="28"/>
  <c r="G24" i="28"/>
  <c r="G25" i="28"/>
  <c r="G26" i="28"/>
  <c r="G27" i="28"/>
  <c r="D12" i="30" l="1"/>
  <c r="D12" i="19"/>
  <c r="D12" i="17"/>
  <c r="D12" i="20"/>
  <c r="D12" i="8"/>
  <c r="D12" i="4"/>
  <c r="D12" i="28" l="1"/>
  <c r="D12" i="31"/>
  <c r="C14" i="37" l="1"/>
  <c r="C13" i="37"/>
  <c r="C11" i="37"/>
  <c r="G20" i="37"/>
  <c r="G21" i="37"/>
  <c r="G22" i="37"/>
  <c r="G23" i="37"/>
  <c r="J23" i="37" s="1"/>
  <c r="G24" i="37"/>
  <c r="G25" i="37"/>
  <c r="G26" i="37"/>
  <c r="G27" i="37"/>
  <c r="G19" i="37"/>
  <c r="F28" i="37"/>
  <c r="G20" i="36"/>
  <c r="G21" i="36"/>
  <c r="G22" i="36"/>
  <c r="G23" i="36"/>
  <c r="G24" i="36"/>
  <c r="G25" i="36"/>
  <c r="G26" i="36"/>
  <c r="G27" i="36"/>
  <c r="G19" i="36"/>
  <c r="C14" i="36"/>
  <c r="C13" i="36"/>
  <c r="C11" i="36"/>
  <c r="G20" i="35"/>
  <c r="G21" i="35"/>
  <c r="G22" i="35"/>
  <c r="G23" i="35"/>
  <c r="G24" i="35"/>
  <c r="G25" i="35"/>
  <c r="G26" i="35"/>
  <c r="G27" i="35"/>
  <c r="G19" i="35"/>
  <c r="H19" i="35" s="1"/>
  <c r="M19" i="35" s="1"/>
  <c r="C14" i="35"/>
  <c r="C13" i="35"/>
  <c r="C11" i="35"/>
  <c r="C14" i="26"/>
  <c r="C13" i="26"/>
  <c r="C11" i="26"/>
  <c r="C14" i="24"/>
  <c r="C13" i="24"/>
  <c r="D12" i="24"/>
  <c r="C11" i="24"/>
  <c r="G20" i="23"/>
  <c r="G21" i="23"/>
  <c r="G22" i="23"/>
  <c r="J22" i="23" s="1"/>
  <c r="G23" i="23"/>
  <c r="J23" i="23" s="1"/>
  <c r="G24" i="23"/>
  <c r="G25" i="23"/>
  <c r="G26" i="23"/>
  <c r="G27" i="23"/>
  <c r="G19" i="23"/>
  <c r="G19" i="22"/>
  <c r="C14" i="23"/>
  <c r="C13" i="23"/>
  <c r="C11" i="23"/>
  <c r="C14" i="22"/>
  <c r="C13" i="22"/>
  <c r="C11" i="22"/>
  <c r="C14" i="21"/>
  <c r="C13" i="21"/>
  <c r="C11" i="21"/>
  <c r="C14" i="20"/>
  <c r="C13" i="20"/>
  <c r="C11" i="20"/>
  <c r="H24" i="36" l="1"/>
  <c r="I24" i="36" s="1"/>
  <c r="H21" i="37"/>
  <c r="I21" i="37" s="1"/>
  <c r="H19" i="23"/>
  <c r="J19" i="23" s="1"/>
  <c r="H24" i="37"/>
  <c r="I24" i="37" s="1"/>
  <c r="H19" i="36"/>
  <c r="H26" i="37"/>
  <c r="I26" i="37" s="1"/>
  <c r="H21" i="36"/>
  <c r="I21" i="36" s="1"/>
  <c r="H26" i="36"/>
  <c r="J27" i="36" s="1"/>
  <c r="H19" i="37"/>
  <c r="J19" i="37" s="1"/>
  <c r="J21" i="37" l="1"/>
  <c r="J22" i="37"/>
  <c r="J20" i="23"/>
  <c r="K19" i="23" s="1"/>
  <c r="L19" i="23" s="1"/>
  <c r="J25" i="37"/>
  <c r="J24" i="37"/>
  <c r="J21" i="36"/>
  <c r="J26" i="36"/>
  <c r="K26" i="36" s="1"/>
  <c r="I19" i="37"/>
  <c r="I28" i="37" s="1"/>
  <c r="H28" i="37"/>
  <c r="J27" i="37"/>
  <c r="J26" i="37"/>
  <c r="I26" i="36"/>
  <c r="I19" i="36"/>
  <c r="H28" i="36"/>
  <c r="J20" i="37"/>
  <c r="K19" i="37" s="1"/>
  <c r="K24" i="37" l="1"/>
  <c r="M24" i="37" s="1"/>
  <c r="K26" i="37"/>
  <c r="M26" i="37" s="1"/>
  <c r="M19" i="37"/>
  <c r="L19" i="37"/>
  <c r="M26" i="36"/>
  <c r="L26" i="36"/>
  <c r="H21" i="23"/>
  <c r="C14" i="25"/>
  <c r="C13" i="25"/>
  <c r="D12" i="25"/>
  <c r="C11" i="25"/>
  <c r="C14" i="19"/>
  <c r="C13" i="19"/>
  <c r="C11" i="19"/>
  <c r="G20" i="16"/>
  <c r="G21" i="16"/>
  <c r="G22" i="16"/>
  <c r="G23" i="16"/>
  <c r="G24" i="16"/>
  <c r="G25" i="16"/>
  <c r="G26" i="16"/>
  <c r="G27" i="16"/>
  <c r="G19" i="16"/>
  <c r="G20" i="34"/>
  <c r="G21" i="34"/>
  <c r="G22" i="34"/>
  <c r="G23" i="34"/>
  <c r="J23" i="34" s="1"/>
  <c r="G24" i="34"/>
  <c r="G25" i="34"/>
  <c r="G26" i="34"/>
  <c r="G27" i="34"/>
  <c r="G19" i="34"/>
  <c r="G20" i="33"/>
  <c r="G21" i="33"/>
  <c r="G22" i="33"/>
  <c r="G23" i="33"/>
  <c r="G24" i="33"/>
  <c r="G25" i="33"/>
  <c r="G26" i="33"/>
  <c r="G27" i="33"/>
  <c r="G19" i="33"/>
  <c r="G20" i="32"/>
  <c r="G21" i="32"/>
  <c r="G22" i="32"/>
  <c r="J22" i="32" s="1"/>
  <c r="G23" i="32"/>
  <c r="J23" i="32" s="1"/>
  <c r="G24" i="32"/>
  <c r="G25" i="32"/>
  <c r="G26" i="32"/>
  <c r="G27" i="32"/>
  <c r="G19" i="32"/>
  <c r="G20" i="31"/>
  <c r="G21" i="31"/>
  <c r="G22" i="31"/>
  <c r="G23" i="31"/>
  <c r="G24" i="31"/>
  <c r="G25" i="31"/>
  <c r="G26" i="31"/>
  <c r="G27" i="31"/>
  <c r="G19" i="31"/>
  <c r="G19" i="28"/>
  <c r="L26" i="37" l="1"/>
  <c r="L24" i="37"/>
  <c r="J21" i="23"/>
  <c r="H26" i="35"/>
  <c r="M26" i="35" s="1"/>
  <c r="H21" i="35"/>
  <c r="M21" i="35" s="1"/>
  <c r="G20" i="26"/>
  <c r="G21" i="26"/>
  <c r="G22" i="26"/>
  <c r="G23" i="26"/>
  <c r="J23" i="26" s="1"/>
  <c r="G24" i="26"/>
  <c r="G25" i="26"/>
  <c r="G26" i="26"/>
  <c r="G27" i="26"/>
  <c r="G19" i="26"/>
  <c r="G20" i="25"/>
  <c r="G21" i="25"/>
  <c r="G22" i="25"/>
  <c r="G23" i="25"/>
  <c r="G24" i="25"/>
  <c r="G25" i="25"/>
  <c r="G26" i="25"/>
  <c r="G27" i="25"/>
  <c r="G19" i="25"/>
  <c r="J20" i="25" s="1"/>
  <c r="G19" i="24"/>
  <c r="G20" i="24"/>
  <c r="G21" i="24"/>
  <c r="G22" i="24"/>
  <c r="G23" i="24"/>
  <c r="G24" i="24"/>
  <c r="G25" i="24"/>
  <c r="G26" i="24"/>
  <c r="G27" i="24"/>
  <c r="G20" i="22"/>
  <c r="G21" i="22"/>
  <c r="G22" i="22"/>
  <c r="G23" i="22"/>
  <c r="J23" i="22" s="1"/>
  <c r="G24" i="22"/>
  <c r="G25" i="22"/>
  <c r="G26" i="22"/>
  <c r="G27" i="22"/>
  <c r="G19" i="21"/>
  <c r="G20" i="21"/>
  <c r="G21" i="21"/>
  <c r="G22" i="21"/>
  <c r="J22" i="21" s="1"/>
  <c r="G23" i="21"/>
  <c r="J23" i="21" s="1"/>
  <c r="G24" i="21"/>
  <c r="G25" i="21"/>
  <c r="G26" i="21"/>
  <c r="G27" i="21"/>
  <c r="G19" i="20"/>
  <c r="G20" i="20"/>
  <c r="G21" i="20"/>
  <c r="G22" i="20"/>
  <c r="G23" i="20"/>
  <c r="J23" i="20" s="1"/>
  <c r="G24" i="20"/>
  <c r="G25" i="20"/>
  <c r="G26" i="20"/>
  <c r="G27" i="20"/>
  <c r="G19" i="19"/>
  <c r="G20" i="19"/>
  <c r="G21" i="19"/>
  <c r="G22" i="19"/>
  <c r="G23" i="19"/>
  <c r="G24" i="19"/>
  <c r="G25" i="19"/>
  <c r="G26" i="19"/>
  <c r="G27" i="19"/>
  <c r="G20" i="18"/>
  <c r="G21" i="18"/>
  <c r="G22" i="18"/>
  <c r="G23" i="18"/>
  <c r="G24" i="18"/>
  <c r="G25" i="18"/>
  <c r="G26" i="18"/>
  <c r="G27" i="18"/>
  <c r="G19" i="18"/>
  <c r="H19" i="18" s="1"/>
  <c r="M19" i="18" s="1"/>
  <c r="G20" i="17"/>
  <c r="G21" i="17"/>
  <c r="G22" i="17"/>
  <c r="G23" i="17"/>
  <c r="J23" i="17" s="1"/>
  <c r="G24" i="17"/>
  <c r="G25" i="17"/>
  <c r="G26" i="17"/>
  <c r="G27" i="17"/>
  <c r="G19" i="17"/>
  <c r="H19" i="17" s="1"/>
  <c r="H19" i="34"/>
  <c r="H19" i="32"/>
  <c r="F28" i="32"/>
  <c r="H21" i="32"/>
  <c r="H26" i="28"/>
  <c r="H24" i="28"/>
  <c r="H19" i="28"/>
  <c r="H21" i="28"/>
  <c r="G20" i="30"/>
  <c r="G21" i="30"/>
  <c r="G22" i="30"/>
  <c r="J22" i="30" s="1"/>
  <c r="G23" i="30"/>
  <c r="G24" i="30"/>
  <c r="G25" i="30"/>
  <c r="G26" i="30"/>
  <c r="G27" i="30"/>
  <c r="G19" i="30"/>
  <c r="G19" i="29"/>
  <c r="G20" i="29"/>
  <c r="G21" i="29"/>
  <c r="G22" i="29"/>
  <c r="G23" i="29"/>
  <c r="J23" i="29" s="1"/>
  <c r="G24" i="29"/>
  <c r="G25" i="29"/>
  <c r="G26" i="29"/>
  <c r="G27" i="29"/>
  <c r="H24" i="20" l="1"/>
  <c r="M24" i="20" s="1"/>
  <c r="H24" i="25"/>
  <c r="H24" i="18"/>
  <c r="J25" i="18" s="1"/>
  <c r="H24" i="22"/>
  <c r="H21" i="20"/>
  <c r="M21" i="20" s="1"/>
  <c r="H19" i="19"/>
  <c r="M19" i="19" s="1"/>
  <c r="H19" i="29"/>
  <c r="H24" i="17"/>
  <c r="H26" i="17"/>
  <c r="J26" i="17" s="1"/>
  <c r="H21" i="29"/>
  <c r="H21" i="18"/>
  <c r="M21" i="18" s="1"/>
  <c r="H21" i="19"/>
  <c r="M21" i="19" s="1"/>
  <c r="H19" i="20"/>
  <c r="M19" i="20" s="1"/>
  <c r="H24" i="21"/>
  <c r="H26" i="24"/>
  <c r="H19" i="24"/>
  <c r="H26" i="26"/>
  <c r="J27" i="26" s="1"/>
  <c r="H21" i="30"/>
  <c r="H26" i="21"/>
  <c r="J27" i="21" s="1"/>
  <c r="H19" i="26"/>
  <c r="H26" i="29"/>
  <c r="H19" i="30"/>
  <c r="H24" i="30"/>
  <c r="H26" i="19"/>
  <c r="M26" i="19" s="1"/>
  <c r="H26" i="22"/>
  <c r="H24" i="29"/>
  <c r="J24" i="29" s="1"/>
  <c r="H26" i="30"/>
  <c r="J27" i="30" s="1"/>
  <c r="H19" i="21"/>
  <c r="J19" i="21" s="1"/>
  <c r="H19" i="22"/>
  <c r="H21" i="24"/>
  <c r="H24" i="19"/>
  <c r="M24" i="19" s="1"/>
  <c r="H21" i="21"/>
  <c r="J21" i="21" s="1"/>
  <c r="H21" i="22"/>
  <c r="H21" i="25"/>
  <c r="H24" i="26"/>
  <c r="H24" i="24"/>
  <c r="H26" i="25"/>
  <c r="H21" i="26"/>
  <c r="J21" i="26" s="1"/>
  <c r="H24" i="32"/>
  <c r="H26" i="32"/>
  <c r="I26" i="32" s="1"/>
  <c r="J19" i="25"/>
  <c r="K19" i="25" s="1"/>
  <c r="H26" i="20"/>
  <c r="J27" i="20" s="1"/>
  <c r="J24" i="18"/>
  <c r="M24" i="18"/>
  <c r="H26" i="18"/>
  <c r="M26" i="18" s="1"/>
  <c r="J20" i="18"/>
  <c r="J19" i="18"/>
  <c r="H21" i="17"/>
  <c r="I21" i="32"/>
  <c r="I19" i="32"/>
  <c r="J26" i="30" l="1"/>
  <c r="H28" i="30"/>
  <c r="J21" i="18"/>
  <c r="J23" i="18"/>
  <c r="J26" i="26"/>
  <c r="H28" i="29"/>
  <c r="J26" i="21"/>
  <c r="K26" i="21" s="1"/>
  <c r="L26" i="21" s="1"/>
  <c r="J27" i="17"/>
  <c r="K26" i="17" s="1"/>
  <c r="L26" i="17" s="1"/>
  <c r="J25" i="30"/>
  <c r="L19" i="25"/>
  <c r="J27" i="29"/>
  <c r="K26" i="26"/>
  <c r="L26" i="26" s="1"/>
  <c r="J22" i="18"/>
  <c r="J21" i="22"/>
  <c r="I24" i="32"/>
  <c r="I28" i="32" s="1"/>
  <c r="K26" i="30"/>
  <c r="L26" i="30" s="1"/>
  <c r="J26" i="32"/>
  <c r="J27" i="32"/>
  <c r="H28" i="20"/>
  <c r="M26" i="20"/>
  <c r="J26" i="20"/>
  <c r="K26" i="20" s="1"/>
  <c r="L26" i="20" s="1"/>
  <c r="H28" i="32"/>
  <c r="M19" i="25"/>
  <c r="J26" i="18"/>
  <c r="J27" i="18"/>
  <c r="H28" i="17"/>
  <c r="M26" i="26" l="1"/>
  <c r="K26" i="32"/>
  <c r="L26" i="32" s="1"/>
  <c r="G20" i="27"/>
  <c r="G21" i="27"/>
  <c r="G22" i="27"/>
  <c r="G23" i="27"/>
  <c r="G24" i="27"/>
  <c r="G25" i="27"/>
  <c r="G26" i="27"/>
  <c r="G27" i="27"/>
  <c r="G19" i="27"/>
  <c r="H19" i="27" s="1"/>
  <c r="I19" i="27" s="1"/>
  <c r="G20" i="14"/>
  <c r="G21" i="14"/>
  <c r="G22" i="14"/>
  <c r="G23" i="14"/>
  <c r="G24" i="14"/>
  <c r="G25" i="14"/>
  <c r="G26" i="14"/>
  <c r="G27" i="14"/>
  <c r="G19" i="14"/>
  <c r="G20" i="13"/>
  <c r="G21" i="13"/>
  <c r="G22" i="13"/>
  <c r="G23" i="13"/>
  <c r="G24" i="13"/>
  <c r="G25" i="13"/>
  <c r="G26" i="13"/>
  <c r="G27" i="13"/>
  <c r="G19" i="13"/>
  <c r="G20" i="12"/>
  <c r="G21" i="12"/>
  <c r="G22" i="12"/>
  <c r="G23" i="12"/>
  <c r="G24" i="12"/>
  <c r="G25" i="12"/>
  <c r="G26" i="12"/>
  <c r="G27" i="12"/>
  <c r="G19" i="12"/>
  <c r="G20" i="11"/>
  <c r="G21" i="11"/>
  <c r="G22" i="11"/>
  <c r="G23" i="11"/>
  <c r="G24" i="11"/>
  <c r="G25" i="11"/>
  <c r="G26" i="11"/>
  <c r="G27" i="11"/>
  <c r="G19" i="11"/>
  <c r="H19" i="11" s="1"/>
  <c r="I19" i="11" s="1"/>
  <c r="F28" i="12"/>
  <c r="F28" i="13"/>
  <c r="F28" i="14"/>
  <c r="F28" i="15"/>
  <c r="G27" i="15"/>
  <c r="G26" i="15"/>
  <c r="G25" i="15"/>
  <c r="G24" i="15"/>
  <c r="G23" i="15"/>
  <c r="G22" i="15"/>
  <c r="G21" i="15"/>
  <c r="G20" i="15"/>
  <c r="G19" i="15"/>
  <c r="F28" i="27"/>
  <c r="F28" i="28"/>
  <c r="I26" i="28"/>
  <c r="I24" i="28"/>
  <c r="I21" i="28"/>
  <c r="I19" i="28"/>
  <c r="F28" i="11"/>
  <c r="G20" i="10"/>
  <c r="G21" i="10"/>
  <c r="G22" i="10"/>
  <c r="G23" i="10"/>
  <c r="G24" i="10"/>
  <c r="G25" i="10"/>
  <c r="G26" i="10"/>
  <c r="G27" i="10"/>
  <c r="G19" i="10"/>
  <c r="G20" i="8"/>
  <c r="G21" i="8"/>
  <c r="G22" i="8"/>
  <c r="G23" i="8"/>
  <c r="G24" i="8"/>
  <c r="G25" i="8"/>
  <c r="G26" i="8"/>
  <c r="G27" i="8"/>
  <c r="G19" i="8"/>
  <c r="F28" i="10"/>
  <c r="F28" i="8"/>
  <c r="G20" i="5"/>
  <c r="G21" i="5"/>
  <c r="G22" i="5"/>
  <c r="J22" i="5" s="1"/>
  <c r="G23" i="5"/>
  <c r="G24" i="5"/>
  <c r="G25" i="5"/>
  <c r="G26" i="5"/>
  <c r="G27" i="5"/>
  <c r="G19" i="5"/>
  <c r="F28" i="4"/>
  <c r="G27" i="4"/>
  <c r="G26" i="4"/>
  <c r="G25" i="4"/>
  <c r="G24" i="4"/>
  <c r="G23" i="4"/>
  <c r="J23" i="4" s="1"/>
  <c r="G22" i="4"/>
  <c r="G21" i="4"/>
  <c r="G20" i="4"/>
  <c r="G19" i="4"/>
  <c r="H24" i="14" l="1"/>
  <c r="H24" i="5"/>
  <c r="J25" i="5" s="1"/>
  <c r="H21" i="12"/>
  <c r="J22" i="12" s="1"/>
  <c r="H19" i="8"/>
  <c r="I19" i="8" s="1"/>
  <c r="H24" i="8"/>
  <c r="J25" i="8" s="1"/>
  <c r="H21" i="10"/>
  <c r="H26" i="4"/>
  <c r="J26" i="4" s="1"/>
  <c r="H26" i="5"/>
  <c r="J26" i="5" s="1"/>
  <c r="J20" i="11"/>
  <c r="H26" i="10"/>
  <c r="I26" i="10" s="1"/>
  <c r="H24" i="11"/>
  <c r="I24" i="11" s="1"/>
  <c r="H21" i="4"/>
  <c r="J22" i="4" s="1"/>
  <c r="H21" i="13"/>
  <c r="J22" i="13" s="1"/>
  <c r="H19" i="5"/>
  <c r="H24" i="10"/>
  <c r="I24" i="10" s="1"/>
  <c r="H19" i="13"/>
  <c r="I19" i="13" s="1"/>
  <c r="H19" i="4"/>
  <c r="I19" i="4" s="1"/>
  <c r="H24" i="13"/>
  <c r="J24" i="13" s="1"/>
  <c r="H26" i="13"/>
  <c r="J27" i="13" s="1"/>
  <c r="H24" i="4"/>
  <c r="J25" i="4" s="1"/>
  <c r="H21" i="27"/>
  <c r="I21" i="27" s="1"/>
  <c r="H26" i="12"/>
  <c r="J27" i="12" s="1"/>
  <c r="J20" i="27"/>
  <c r="H26" i="27"/>
  <c r="J27" i="27" s="1"/>
  <c r="H19" i="14"/>
  <c r="H26" i="11"/>
  <c r="J26" i="11" s="1"/>
  <c r="I28" i="28"/>
  <c r="H21" i="14"/>
  <c r="H21" i="11"/>
  <c r="J22" i="11" s="1"/>
  <c r="H28" i="28"/>
  <c r="H24" i="27"/>
  <c r="J24" i="27" s="1"/>
  <c r="I24" i="14"/>
  <c r="H19" i="12"/>
  <c r="J19" i="12" s="1"/>
  <c r="I21" i="12"/>
  <c r="H26" i="14"/>
  <c r="H19" i="15"/>
  <c r="H21" i="15"/>
  <c r="J21" i="15" s="1"/>
  <c r="H24" i="15"/>
  <c r="J25" i="15" s="1"/>
  <c r="H26" i="15"/>
  <c r="J27" i="15" s="1"/>
  <c r="H24" i="12"/>
  <c r="J25" i="12" s="1"/>
  <c r="H19" i="10"/>
  <c r="I21" i="10"/>
  <c r="H21" i="8"/>
  <c r="J21" i="8" s="1"/>
  <c r="H26" i="8"/>
  <c r="J26" i="8" s="1"/>
  <c r="H21" i="5"/>
  <c r="I24" i="4" l="1"/>
  <c r="I19" i="10"/>
  <c r="H28" i="10"/>
  <c r="J27" i="4"/>
  <c r="K26" i="4" s="1"/>
  <c r="M26" i="4" s="1"/>
  <c r="J21" i="12"/>
  <c r="I24" i="8"/>
  <c r="I26" i="12"/>
  <c r="J25" i="11"/>
  <c r="J26" i="13"/>
  <c r="K26" i="13" s="1"/>
  <c r="L26" i="13" s="1"/>
  <c r="I26" i="13"/>
  <c r="J25" i="13"/>
  <c r="K24" i="13" s="1"/>
  <c r="L24" i="13" s="1"/>
  <c r="I21" i="4"/>
  <c r="I24" i="13"/>
  <c r="J24" i="11"/>
  <c r="J21" i="5"/>
  <c r="J21" i="11"/>
  <c r="I21" i="13"/>
  <c r="J20" i="12"/>
  <c r="K19" i="12" s="1"/>
  <c r="J27" i="11"/>
  <c r="K26" i="11" s="1"/>
  <c r="L26" i="11" s="1"/>
  <c r="J27" i="5"/>
  <c r="K26" i="5" s="1"/>
  <c r="L26" i="5" s="1"/>
  <c r="J19" i="13"/>
  <c r="I26" i="4"/>
  <c r="J24" i="12"/>
  <c r="K24" i="12" s="1"/>
  <c r="L24" i="12" s="1"/>
  <c r="H28" i="4"/>
  <c r="H28" i="13"/>
  <c r="J26" i="12"/>
  <c r="K26" i="12" s="1"/>
  <c r="L26" i="12" s="1"/>
  <c r="J27" i="8"/>
  <c r="K26" i="8" s="1"/>
  <c r="J21" i="13"/>
  <c r="J20" i="13"/>
  <c r="H28" i="8"/>
  <c r="J26" i="27"/>
  <c r="K26" i="27" s="1"/>
  <c r="L26" i="27" s="1"/>
  <c r="J21" i="27"/>
  <c r="I26" i="11"/>
  <c r="J25" i="27"/>
  <c r="K24" i="27" s="1"/>
  <c r="L24" i="27" s="1"/>
  <c r="J22" i="27"/>
  <c r="J26" i="15"/>
  <c r="K26" i="15" s="1"/>
  <c r="H28" i="27"/>
  <c r="I26" i="27"/>
  <c r="I26" i="14"/>
  <c r="I19" i="14"/>
  <c r="I24" i="12"/>
  <c r="I21" i="15"/>
  <c r="I21" i="14"/>
  <c r="I24" i="27"/>
  <c r="I26" i="15"/>
  <c r="H28" i="15"/>
  <c r="I19" i="15"/>
  <c r="I24" i="15"/>
  <c r="H28" i="11"/>
  <c r="I19" i="12"/>
  <c r="H28" i="12"/>
  <c r="H28" i="14"/>
  <c r="I21" i="11"/>
  <c r="I28" i="10"/>
  <c r="D30" i="10" s="1"/>
  <c r="M19" i="10"/>
  <c r="M26" i="10"/>
  <c r="I21" i="8"/>
  <c r="M24" i="10"/>
  <c r="I26" i="8"/>
  <c r="H28" i="5"/>
  <c r="I28" i="4" l="1"/>
  <c r="M26" i="12"/>
  <c r="K24" i="11"/>
  <c r="L24" i="11" s="1"/>
  <c r="I28" i="11"/>
  <c r="I28" i="13"/>
  <c r="M26" i="13"/>
  <c r="L26" i="4"/>
  <c r="K19" i="13"/>
  <c r="I28" i="14"/>
  <c r="L19" i="12"/>
  <c r="I28" i="12"/>
  <c r="I28" i="27"/>
  <c r="M24" i="13"/>
  <c r="M26" i="27"/>
  <c r="M26" i="15"/>
  <c r="L26" i="15"/>
  <c r="M19" i="12"/>
  <c r="I28" i="15"/>
  <c r="M26" i="11"/>
  <c r="I28" i="8"/>
  <c r="M26" i="8"/>
  <c r="L26" i="8"/>
  <c r="M21" i="10"/>
  <c r="M24" i="11" l="1"/>
  <c r="L19" i="13"/>
  <c r="M19" i="13"/>
  <c r="M24" i="12"/>
  <c r="M24" i="27"/>
  <c r="H24" i="16" l="1"/>
  <c r="H24" i="33"/>
  <c r="H19" i="31"/>
  <c r="H24" i="31"/>
  <c r="H26" i="33" l="1"/>
  <c r="H26" i="16"/>
  <c r="H26" i="31"/>
  <c r="J27" i="31" s="1"/>
  <c r="H21" i="31"/>
  <c r="J23" i="31" s="1"/>
  <c r="H21" i="33"/>
  <c r="H21" i="16"/>
  <c r="H19" i="33"/>
  <c r="J19" i="33" s="1"/>
  <c r="H19" i="16"/>
  <c r="J19" i="16" s="1"/>
  <c r="AE11" i="1"/>
  <c r="AE12" i="1"/>
  <c r="AE13" i="1"/>
  <c r="AE14" i="1"/>
  <c r="AE15" i="1"/>
  <c r="AE16" i="1"/>
  <c r="AE17" i="1"/>
  <c r="AE18" i="1"/>
  <c r="AE19" i="1"/>
  <c r="AE20" i="1"/>
  <c r="J27" i="28" s="1"/>
  <c r="AE21" i="1"/>
  <c r="AE22" i="1"/>
  <c r="AE23" i="1"/>
  <c r="AE24" i="1"/>
  <c r="AE25" i="1"/>
  <c r="AE26" i="1"/>
  <c r="AE27" i="1"/>
  <c r="AE28" i="1"/>
  <c r="AE29" i="1"/>
  <c r="AE30" i="1"/>
  <c r="AE31" i="1"/>
  <c r="AE32" i="1"/>
  <c r="J27" i="22" s="1"/>
  <c r="AE33" i="1"/>
  <c r="AE34" i="1"/>
  <c r="AE35" i="1"/>
  <c r="J27" i="24" s="1"/>
  <c r="AE36" i="1"/>
  <c r="J27" i="25" s="1"/>
  <c r="AE37" i="1"/>
  <c r="AE38" i="1"/>
  <c r="AE39" i="1"/>
  <c r="AE40" i="1"/>
  <c r="AE41" i="1"/>
  <c r="AE42" i="1"/>
  <c r="AE43" i="1"/>
  <c r="AE10" i="1"/>
  <c r="AB11" i="1"/>
  <c r="AB12" i="1"/>
  <c r="AB13" i="1"/>
  <c r="AB14" i="1"/>
  <c r="AB15" i="1"/>
  <c r="AB16" i="1"/>
  <c r="AB17" i="1"/>
  <c r="AB18" i="1"/>
  <c r="AB19" i="1"/>
  <c r="AB20" i="1"/>
  <c r="J26" i="28" s="1"/>
  <c r="AB21" i="1"/>
  <c r="AB22" i="1"/>
  <c r="AB23" i="1"/>
  <c r="AB24" i="1"/>
  <c r="AB25" i="1"/>
  <c r="AB26" i="1"/>
  <c r="AB27" i="1"/>
  <c r="AB28" i="1"/>
  <c r="AB29" i="1"/>
  <c r="AB30" i="1"/>
  <c r="AB31" i="1"/>
  <c r="AB32" i="1"/>
  <c r="J26" i="22" s="1"/>
  <c r="AB33" i="1"/>
  <c r="AB34" i="1"/>
  <c r="AB35" i="1"/>
  <c r="J26" i="24" s="1"/>
  <c r="AB36" i="1"/>
  <c r="J26" i="25" s="1"/>
  <c r="AB37" i="1"/>
  <c r="AB38" i="1"/>
  <c r="AB39" i="1"/>
  <c r="AB40" i="1"/>
  <c r="AB41" i="1"/>
  <c r="AB42" i="1"/>
  <c r="AB43" i="1"/>
  <c r="AB10" i="1"/>
  <c r="Y11" i="1"/>
  <c r="Y12" i="1"/>
  <c r="Y13" i="1"/>
  <c r="Y14" i="1"/>
  <c r="Y15" i="1"/>
  <c r="Y16" i="1"/>
  <c r="Y17" i="1"/>
  <c r="Y18" i="1"/>
  <c r="Y19" i="1"/>
  <c r="Y20" i="1"/>
  <c r="J25" i="28" s="1"/>
  <c r="Y21" i="1"/>
  <c r="Y22" i="1"/>
  <c r="Y23" i="1"/>
  <c r="Y24" i="1"/>
  <c r="J25" i="32" s="1"/>
  <c r="Y25" i="1"/>
  <c r="J25" i="33" s="1"/>
  <c r="Y26" i="1"/>
  <c r="Y27" i="1"/>
  <c r="J25" i="16" s="1"/>
  <c r="Y28" i="1"/>
  <c r="J25" i="17" s="1"/>
  <c r="Y29" i="1"/>
  <c r="Y30" i="1"/>
  <c r="J25" i="20" s="1"/>
  <c r="Y31" i="1"/>
  <c r="J25" i="21" s="1"/>
  <c r="Y32" i="1"/>
  <c r="J25" i="22" s="1"/>
  <c r="Y33" i="1"/>
  <c r="Y34" i="1"/>
  <c r="Y35" i="1"/>
  <c r="J25" i="24" s="1"/>
  <c r="Y36" i="1"/>
  <c r="Y37" i="1"/>
  <c r="Y38" i="1"/>
  <c r="J25" i="36" s="1"/>
  <c r="Y39" i="1"/>
  <c r="Y40" i="1"/>
  <c r="Y41" i="1"/>
  <c r="Y42" i="1"/>
  <c r="Y43" i="1"/>
  <c r="Y10" i="1"/>
  <c r="V11" i="1"/>
  <c r="J24" i="5" s="1"/>
  <c r="V12" i="1"/>
  <c r="J24" i="8" s="1"/>
  <c r="V13" i="1"/>
  <c r="V14" i="1"/>
  <c r="V15" i="1"/>
  <c r="V16" i="1"/>
  <c r="V17" i="1"/>
  <c r="V18" i="1"/>
  <c r="V19" i="1"/>
  <c r="V20" i="1"/>
  <c r="J24" i="28" s="1"/>
  <c r="V21" i="1"/>
  <c r="V22" i="1"/>
  <c r="V23" i="1"/>
  <c r="V24" i="1"/>
  <c r="J24" i="32" s="1"/>
  <c r="K24" i="32" s="1"/>
  <c r="V25" i="1"/>
  <c r="J24" i="33" s="1"/>
  <c r="V26" i="1"/>
  <c r="V27" i="1"/>
  <c r="J24" i="16" s="1"/>
  <c r="V28" i="1"/>
  <c r="J24" i="17" s="1"/>
  <c r="V29" i="1"/>
  <c r="V30" i="1"/>
  <c r="J24" i="20" s="1"/>
  <c r="V31" i="1"/>
  <c r="J24" i="21" s="1"/>
  <c r="V32" i="1"/>
  <c r="J24" i="22" s="1"/>
  <c r="V33" i="1"/>
  <c r="V34" i="1"/>
  <c r="V35" i="1"/>
  <c r="J24" i="24" s="1"/>
  <c r="V36" i="1"/>
  <c r="V37" i="1"/>
  <c r="V38" i="1"/>
  <c r="J24" i="36" s="1"/>
  <c r="V39" i="1"/>
  <c r="V40" i="1"/>
  <c r="V41" i="1"/>
  <c r="V42" i="1"/>
  <c r="V43" i="1"/>
  <c r="V10" i="1"/>
  <c r="J24" i="4" s="1"/>
  <c r="S11" i="1"/>
  <c r="J23" i="5" s="1"/>
  <c r="S12" i="1"/>
  <c r="S13" i="1"/>
  <c r="S14" i="1"/>
  <c r="J23" i="11" s="1"/>
  <c r="K21" i="11" s="1"/>
  <c r="S15" i="1"/>
  <c r="J23" i="12" s="1"/>
  <c r="K21" i="12" s="1"/>
  <c r="S16" i="1"/>
  <c r="J23" i="13" s="1"/>
  <c r="K21" i="13" s="1"/>
  <c r="S17" i="1"/>
  <c r="S18" i="1"/>
  <c r="S19" i="1"/>
  <c r="J23" i="27" s="1"/>
  <c r="K21" i="27" s="1"/>
  <c r="S20" i="1"/>
  <c r="S21" i="1"/>
  <c r="S22" i="1"/>
  <c r="J23" i="30" s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J23" i="36" s="1"/>
  <c r="S39" i="1"/>
  <c r="S40" i="1"/>
  <c r="S41" i="1"/>
  <c r="S42" i="1"/>
  <c r="S43" i="1"/>
  <c r="S10" i="1"/>
  <c r="P11" i="1"/>
  <c r="P12" i="1"/>
  <c r="J22" i="8" s="1"/>
  <c r="P13" i="1"/>
  <c r="P14" i="1"/>
  <c r="P15" i="1"/>
  <c r="P16" i="1"/>
  <c r="P17" i="1"/>
  <c r="P18" i="1"/>
  <c r="P19" i="1"/>
  <c r="P20" i="1"/>
  <c r="J22" i="28" s="1"/>
  <c r="P21" i="1"/>
  <c r="P22" i="1"/>
  <c r="P23" i="1"/>
  <c r="P24" i="1"/>
  <c r="P25" i="1"/>
  <c r="J22" i="33" s="1"/>
  <c r="P26" i="1"/>
  <c r="P27" i="1"/>
  <c r="P28" i="1"/>
  <c r="J22" i="17" s="1"/>
  <c r="P29" i="1"/>
  <c r="P30" i="1"/>
  <c r="J22" i="20" s="1"/>
  <c r="P31" i="1"/>
  <c r="K21" i="21" s="1"/>
  <c r="P32" i="1"/>
  <c r="J22" i="22" s="1"/>
  <c r="K21" i="22" s="1"/>
  <c r="P33" i="1"/>
  <c r="P34" i="1"/>
  <c r="P35" i="1"/>
  <c r="J22" i="24" s="1"/>
  <c r="P36" i="1"/>
  <c r="Q36" i="1" s="1"/>
  <c r="P37" i="1"/>
  <c r="P38" i="1"/>
  <c r="J22" i="36" s="1"/>
  <c r="P39" i="1"/>
  <c r="P40" i="1"/>
  <c r="P41" i="1"/>
  <c r="P42" i="1"/>
  <c r="P43" i="1"/>
  <c r="P10" i="1"/>
  <c r="M11" i="1"/>
  <c r="N11" i="1" s="1"/>
  <c r="M12" i="1"/>
  <c r="N12" i="1" s="1"/>
  <c r="M13" i="1"/>
  <c r="N13" i="1" s="1"/>
  <c r="M14" i="1"/>
  <c r="N14" i="1" s="1"/>
  <c r="M15" i="1"/>
  <c r="M16" i="1"/>
  <c r="N16" i="1" s="1"/>
  <c r="M17" i="1"/>
  <c r="N17" i="1" s="1"/>
  <c r="M18" i="1"/>
  <c r="N18" i="1" s="1"/>
  <c r="M19" i="1"/>
  <c r="N19" i="1" s="1"/>
  <c r="M20" i="1"/>
  <c r="M21" i="1"/>
  <c r="N21" i="1" s="1"/>
  <c r="M22" i="1"/>
  <c r="M23" i="1"/>
  <c r="N23" i="1" s="1"/>
  <c r="M24" i="1"/>
  <c r="M25" i="1"/>
  <c r="N25" i="1" s="1"/>
  <c r="M26" i="1"/>
  <c r="N26" i="1" s="1"/>
  <c r="M27" i="1"/>
  <c r="N27" i="1" s="1"/>
  <c r="M28" i="1"/>
  <c r="M29" i="1"/>
  <c r="N29" i="1" s="1"/>
  <c r="M30" i="1"/>
  <c r="M31" i="1"/>
  <c r="N31" i="1" s="1"/>
  <c r="M32" i="1"/>
  <c r="N32" i="1" s="1"/>
  <c r="M33" i="1"/>
  <c r="N33" i="1" s="1"/>
  <c r="M34" i="1"/>
  <c r="N34" i="1" s="1"/>
  <c r="M35" i="1"/>
  <c r="M36" i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10" i="1"/>
  <c r="J11" i="1"/>
  <c r="J20" i="5" s="1"/>
  <c r="J12" i="1"/>
  <c r="J13" i="1"/>
  <c r="J14" i="1"/>
  <c r="J15" i="1"/>
  <c r="J16" i="1"/>
  <c r="J17" i="1"/>
  <c r="J18" i="1"/>
  <c r="J19" i="1"/>
  <c r="J20" i="1"/>
  <c r="J21" i="1"/>
  <c r="J22" i="1"/>
  <c r="J20" i="30" s="1"/>
  <c r="J23" i="1"/>
  <c r="J24" i="1"/>
  <c r="J20" i="32" s="1"/>
  <c r="J25" i="1"/>
  <c r="J27" i="14" s="1"/>
  <c r="J26" i="1"/>
  <c r="J20" i="34" s="1"/>
  <c r="J27" i="1"/>
  <c r="J28" i="1"/>
  <c r="J20" i="17" s="1"/>
  <c r="J29" i="1"/>
  <c r="J30" i="1"/>
  <c r="J20" i="20" s="1"/>
  <c r="J31" i="1"/>
  <c r="J20" i="21" s="1"/>
  <c r="K19" i="21" s="1"/>
  <c r="L19" i="21" s="1"/>
  <c r="J32" i="1"/>
  <c r="J20" i="22" s="1"/>
  <c r="J33" i="1"/>
  <c r="J34" i="1"/>
  <c r="J35" i="1"/>
  <c r="J36" i="1"/>
  <c r="J37" i="1"/>
  <c r="J38" i="1"/>
  <c r="J20" i="36" s="1"/>
  <c r="J39" i="1"/>
  <c r="K21" i="37" s="1"/>
  <c r="J40" i="1"/>
  <c r="J41" i="1"/>
  <c r="J42" i="1"/>
  <c r="J43" i="1"/>
  <c r="J10" i="1"/>
  <c r="G10" i="1"/>
  <c r="J19" i="4" s="1"/>
  <c r="G11" i="1"/>
  <c r="J19" i="5" s="1"/>
  <c r="G12" i="1"/>
  <c r="J19" i="8" s="1"/>
  <c r="G13" i="1"/>
  <c r="G14" i="1"/>
  <c r="J19" i="11" s="1"/>
  <c r="K19" i="11" s="1"/>
  <c r="G15" i="1"/>
  <c r="G16" i="1"/>
  <c r="G17" i="1"/>
  <c r="G18" i="1"/>
  <c r="G19" i="1"/>
  <c r="J19" i="27" s="1"/>
  <c r="K19" i="27" s="1"/>
  <c r="G20" i="1"/>
  <c r="J19" i="28" s="1"/>
  <c r="G21" i="1"/>
  <c r="G22" i="1"/>
  <c r="J19" i="30" s="1"/>
  <c r="G23" i="1"/>
  <c r="G24" i="1"/>
  <c r="J19" i="32" s="1"/>
  <c r="G25" i="1"/>
  <c r="G26" i="1"/>
  <c r="J19" i="34" s="1"/>
  <c r="G28" i="1"/>
  <c r="J19" i="17" s="1"/>
  <c r="G29" i="1"/>
  <c r="G30" i="1"/>
  <c r="J19" i="20" s="1"/>
  <c r="G31" i="1"/>
  <c r="G32" i="1"/>
  <c r="J19" i="22" s="1"/>
  <c r="G33" i="1"/>
  <c r="G34" i="1"/>
  <c r="G35" i="1"/>
  <c r="J19" i="24" s="1"/>
  <c r="G36" i="1"/>
  <c r="J19" i="26" s="1"/>
  <c r="G37" i="1"/>
  <c r="G38" i="1"/>
  <c r="G39" i="1"/>
  <c r="G40" i="1"/>
  <c r="G41" i="1"/>
  <c r="G42" i="1"/>
  <c r="G43" i="1"/>
  <c r="G27" i="1"/>
  <c r="K19" i="22" l="1"/>
  <c r="L19" i="22" s="1"/>
  <c r="K19" i="32"/>
  <c r="M19" i="32" s="1"/>
  <c r="K19" i="17"/>
  <c r="L19" i="17" s="1"/>
  <c r="K19" i="34"/>
  <c r="L19" i="34" s="1"/>
  <c r="K19" i="30"/>
  <c r="L19" i="30" s="1"/>
  <c r="J23" i="28"/>
  <c r="J20" i="28"/>
  <c r="K19" i="28" s="1"/>
  <c r="J20" i="8"/>
  <c r="J23" i="8"/>
  <c r="L21" i="11"/>
  <c r="M21" i="11"/>
  <c r="K19" i="8"/>
  <c r="J20" i="24"/>
  <c r="J23" i="24"/>
  <c r="J20" i="14"/>
  <c r="J23" i="14"/>
  <c r="J20" i="15"/>
  <c r="J23" i="15"/>
  <c r="J21" i="20"/>
  <c r="K21" i="20" s="1"/>
  <c r="N30" i="1"/>
  <c r="L19" i="27"/>
  <c r="M19" i="27"/>
  <c r="K28" i="27"/>
  <c r="J19" i="15"/>
  <c r="J19" i="14"/>
  <c r="K19" i="36"/>
  <c r="M19" i="36" s="1"/>
  <c r="J21" i="4"/>
  <c r="K21" i="4" s="1"/>
  <c r="N10" i="1"/>
  <c r="J21" i="32"/>
  <c r="K21" i="32" s="1"/>
  <c r="L21" i="32" s="1"/>
  <c r="N24" i="1"/>
  <c r="L21" i="13"/>
  <c r="M21" i="13"/>
  <c r="K28" i="13"/>
  <c r="J24" i="30"/>
  <c r="K24" i="30" s="1"/>
  <c r="L24" i="30" s="1"/>
  <c r="K24" i="22"/>
  <c r="L24" i="22" s="1"/>
  <c r="L24" i="32"/>
  <c r="K26" i="25"/>
  <c r="L26" i="25" s="1"/>
  <c r="K26" i="28"/>
  <c r="J21" i="30"/>
  <c r="K21" i="30" s="1"/>
  <c r="L21" i="30" s="1"/>
  <c r="N22" i="1"/>
  <c r="K19" i="20"/>
  <c r="L19" i="20" s="1"/>
  <c r="N36" i="1"/>
  <c r="J21" i="25"/>
  <c r="J21" i="17"/>
  <c r="K21" i="17" s="1"/>
  <c r="L21" i="17" s="1"/>
  <c r="N28" i="1"/>
  <c r="N20" i="1"/>
  <c r="J21" i="28"/>
  <c r="K21" i="28" s="1"/>
  <c r="K21" i="36"/>
  <c r="L21" i="36" s="1"/>
  <c r="K19" i="24"/>
  <c r="L19" i="24" s="1"/>
  <c r="L19" i="11"/>
  <c r="L28" i="11" s="1"/>
  <c r="D30" i="11" s="1"/>
  <c r="M19" i="11"/>
  <c r="K28" i="11"/>
  <c r="N35" i="1"/>
  <c r="J21" i="24"/>
  <c r="K21" i="24" s="1"/>
  <c r="N15" i="1"/>
  <c r="J21" i="14"/>
  <c r="K21" i="23"/>
  <c r="L21" i="23" s="1"/>
  <c r="M21" i="27"/>
  <c r="L21" i="27"/>
  <c r="L21" i="12"/>
  <c r="L28" i="12" s="1"/>
  <c r="M21" i="12"/>
  <c r="K28" i="12"/>
  <c r="K24" i="33"/>
  <c r="L24" i="33" s="1"/>
  <c r="K24" i="24"/>
  <c r="L24" i="24" s="1"/>
  <c r="K26" i="24"/>
  <c r="L26" i="24" s="1"/>
  <c r="J23" i="33"/>
  <c r="J21" i="16"/>
  <c r="J23" i="16"/>
  <c r="K26" i="22"/>
  <c r="L26" i="22" s="1"/>
  <c r="K24" i="28"/>
  <c r="L24" i="28" s="1"/>
  <c r="K24" i="16"/>
  <c r="L24" i="16" s="1"/>
  <c r="K24" i="36"/>
  <c r="J24" i="26"/>
  <c r="J24" i="25"/>
  <c r="K24" i="21"/>
  <c r="L24" i="21" s="1"/>
  <c r="J25" i="25"/>
  <c r="J25" i="26"/>
  <c r="K24" i="17"/>
  <c r="L24" i="17" s="1"/>
  <c r="J20" i="26"/>
  <c r="K19" i="26" s="1"/>
  <c r="J23" i="25"/>
  <c r="K19" i="5"/>
  <c r="L19" i="5" s="1"/>
  <c r="L21" i="37"/>
  <c r="L28" i="37" s="1"/>
  <c r="D30" i="37" s="1"/>
  <c r="M21" i="37"/>
  <c r="K28" i="37"/>
  <c r="J22" i="25"/>
  <c r="J22" i="26"/>
  <c r="K21" i="26" s="1"/>
  <c r="M21" i="26" s="1"/>
  <c r="L21" i="22"/>
  <c r="M21" i="21"/>
  <c r="L21" i="21"/>
  <c r="J20" i="4"/>
  <c r="K19" i="4" s="1"/>
  <c r="J27" i="33"/>
  <c r="J20" i="33"/>
  <c r="K19" i="33" s="1"/>
  <c r="J27" i="16"/>
  <c r="J22" i="16"/>
  <c r="J26" i="16"/>
  <c r="H28" i="31"/>
  <c r="J21" i="33"/>
  <c r="J20" i="16"/>
  <c r="K19" i="16" s="1"/>
  <c r="J21" i="31"/>
  <c r="J22" i="31"/>
  <c r="J22" i="15"/>
  <c r="J22" i="14"/>
  <c r="K21" i="5"/>
  <c r="L21" i="5" s="1"/>
  <c r="M26" i="25"/>
  <c r="J26" i="33"/>
  <c r="K26" i="33" s="1"/>
  <c r="L26" i="33" s="1"/>
  <c r="J26" i="31"/>
  <c r="K26" i="31" s="1"/>
  <c r="L26" i="31" s="1"/>
  <c r="J26" i="14"/>
  <c r="K26" i="14" s="1"/>
  <c r="J25" i="31"/>
  <c r="J25" i="14"/>
  <c r="J24" i="15"/>
  <c r="K24" i="15" s="1"/>
  <c r="J24" i="31"/>
  <c r="J24" i="14"/>
  <c r="K24" i="5"/>
  <c r="K24" i="8"/>
  <c r="K24" i="4"/>
  <c r="I19" i="5"/>
  <c r="AF20" i="1"/>
  <c r="C14" i="10"/>
  <c r="C13" i="10"/>
  <c r="C11" i="10"/>
  <c r="G12" i="10"/>
  <c r="G11" i="10"/>
  <c r="C14" i="8"/>
  <c r="C13" i="8"/>
  <c r="C11" i="8"/>
  <c r="K21" i="16" l="1"/>
  <c r="L21" i="16" s="1"/>
  <c r="K19" i="14"/>
  <c r="K19" i="15"/>
  <c r="M21" i="36"/>
  <c r="K24" i="26"/>
  <c r="M24" i="26" s="1"/>
  <c r="L19" i="32"/>
  <c r="M24" i="33"/>
  <c r="L28" i="21"/>
  <c r="M19" i="34"/>
  <c r="M24" i="28"/>
  <c r="K21" i="25"/>
  <c r="L21" i="25" s="1"/>
  <c r="K21" i="15"/>
  <c r="K28" i="15" s="1"/>
  <c r="K21" i="33"/>
  <c r="L21" i="33" s="1"/>
  <c r="L19" i="36"/>
  <c r="L21" i="24"/>
  <c r="L28" i="24" s="1"/>
  <c r="K28" i="24"/>
  <c r="K28" i="28"/>
  <c r="L21" i="28"/>
  <c r="M21" i="28"/>
  <c r="K28" i="32"/>
  <c r="K28" i="36"/>
  <c r="L19" i="14"/>
  <c r="M19" i="14"/>
  <c r="M24" i="36"/>
  <c r="L28" i="27"/>
  <c r="D30" i="27"/>
  <c r="L19" i="15"/>
  <c r="M19" i="15"/>
  <c r="L19" i="8"/>
  <c r="M19" i="8"/>
  <c r="M19" i="28"/>
  <c r="L19" i="28"/>
  <c r="K24" i="31"/>
  <c r="L24" i="31" s="1"/>
  <c r="K21" i="14"/>
  <c r="L28" i="30"/>
  <c r="L26" i="28"/>
  <c r="M26" i="28"/>
  <c r="L28" i="13"/>
  <c r="D30" i="13"/>
  <c r="L24" i="36"/>
  <c r="K28" i="22"/>
  <c r="L28" i="22"/>
  <c r="D30" i="22" s="1"/>
  <c r="K24" i="14"/>
  <c r="L24" i="14" s="1"/>
  <c r="K28" i="21"/>
  <c r="K24" i="25"/>
  <c r="L28" i="17"/>
  <c r="D30" i="17" s="1"/>
  <c r="L24" i="26"/>
  <c r="L19" i="26"/>
  <c r="M19" i="26"/>
  <c r="K28" i="17"/>
  <c r="K28" i="30"/>
  <c r="M21" i="25"/>
  <c r="K28" i="26"/>
  <c r="L21" i="26"/>
  <c r="L28" i="32"/>
  <c r="D30" i="32"/>
  <c r="L19" i="16"/>
  <c r="L19" i="33"/>
  <c r="K26" i="16"/>
  <c r="L26" i="16" s="1"/>
  <c r="L21" i="20"/>
  <c r="K24" i="20"/>
  <c r="L24" i="20" s="1"/>
  <c r="K21" i="31"/>
  <c r="L21" i="31" s="1"/>
  <c r="M19" i="4"/>
  <c r="L19" i="4"/>
  <c r="K21" i="8"/>
  <c r="M21" i="8" s="1"/>
  <c r="M19" i="16"/>
  <c r="M19" i="33"/>
  <c r="M21" i="4"/>
  <c r="L21" i="4"/>
  <c r="M21" i="32"/>
  <c r="L21" i="15"/>
  <c r="L21" i="14"/>
  <c r="M21" i="14"/>
  <c r="L26" i="14"/>
  <c r="M26" i="14"/>
  <c r="M26" i="32"/>
  <c r="M26" i="33"/>
  <c r="L24" i="5"/>
  <c r="K28" i="5"/>
  <c r="M24" i="32"/>
  <c r="M24" i="4"/>
  <c r="L24" i="4"/>
  <c r="K28" i="4"/>
  <c r="M24" i="8"/>
  <c r="L24" i="8"/>
  <c r="M24" i="15"/>
  <c r="L24" i="15"/>
  <c r="M21" i="5"/>
  <c r="Q39" i="1"/>
  <c r="Q37" i="1"/>
  <c r="Q31" i="1"/>
  <c r="Q29" i="1"/>
  <c r="Q28" i="1"/>
  <c r="Q20" i="1"/>
  <c r="Q42" i="1"/>
  <c r="Q38" i="1"/>
  <c r="Q34" i="1"/>
  <c r="Q30" i="1"/>
  <c r="Q26" i="1"/>
  <c r="Q22" i="1"/>
  <c r="Q18" i="1"/>
  <c r="K21" i="1"/>
  <c r="Q19" i="1"/>
  <c r="Q21" i="1"/>
  <c r="Q23" i="1"/>
  <c r="Q24" i="1"/>
  <c r="Q25" i="1"/>
  <c r="Q27" i="1"/>
  <c r="Q32" i="1"/>
  <c r="Q33" i="1"/>
  <c r="Q35" i="1"/>
  <c r="Q41" i="1"/>
  <c r="Q43" i="1"/>
  <c r="C9" i="45"/>
  <c r="G9" i="45"/>
  <c r="D10" i="45"/>
  <c r="G10" i="45"/>
  <c r="C11" i="45"/>
  <c r="C12" i="45"/>
  <c r="C9" i="43"/>
  <c r="G9" i="43"/>
  <c r="D10" i="43"/>
  <c r="G10" i="43"/>
  <c r="C11" i="43"/>
  <c r="C12" i="43"/>
  <c r="G11" i="23"/>
  <c r="G12" i="23"/>
  <c r="C11" i="33"/>
  <c r="G11" i="33"/>
  <c r="G12" i="33"/>
  <c r="C13" i="33"/>
  <c r="C14" i="33"/>
  <c r="C11" i="27"/>
  <c r="G11" i="27"/>
  <c r="G12" i="27"/>
  <c r="C13" i="27"/>
  <c r="C14" i="27"/>
  <c r="G12" i="14"/>
  <c r="C14" i="14"/>
  <c r="C13" i="14"/>
  <c r="D12" i="14"/>
  <c r="C11" i="14"/>
  <c r="G11" i="14"/>
  <c r="G12" i="13"/>
  <c r="C14" i="13"/>
  <c r="C13" i="13"/>
  <c r="C11" i="13"/>
  <c r="G11" i="13"/>
  <c r="G12" i="12"/>
  <c r="C14" i="12"/>
  <c r="C13" i="12"/>
  <c r="C11" i="12"/>
  <c r="G11" i="12"/>
  <c r="G12" i="11"/>
  <c r="C14" i="11"/>
  <c r="C13" i="11"/>
  <c r="C11" i="11"/>
  <c r="G11" i="11"/>
  <c r="G12" i="8"/>
  <c r="G11" i="8"/>
  <c r="G12" i="5"/>
  <c r="C14" i="5"/>
  <c r="C13" i="5"/>
  <c r="C11" i="5"/>
  <c r="F28" i="5"/>
  <c r="G11" i="5"/>
  <c r="G11" i="4"/>
  <c r="C11" i="4"/>
  <c r="G12" i="4"/>
  <c r="C13" i="4"/>
  <c r="C14" i="4"/>
  <c r="M21" i="15" l="1"/>
  <c r="K28" i="25"/>
  <c r="L28" i="36"/>
  <c r="D30" i="36" s="1"/>
  <c r="M21" i="33"/>
  <c r="K28" i="33"/>
  <c r="L28" i="33"/>
  <c r="D30" i="33" s="1"/>
  <c r="L28" i="14"/>
  <c r="L28" i="26"/>
  <c r="D30" i="26" s="1"/>
  <c r="L28" i="28"/>
  <c r="K28" i="14"/>
  <c r="M24" i="14"/>
  <c r="L24" i="25"/>
  <c r="L28" i="25" s="1"/>
  <c r="M24" i="25"/>
  <c r="L28" i="20"/>
  <c r="D30" i="20" s="1"/>
  <c r="K28" i="20"/>
  <c r="K28" i="16"/>
  <c r="L28" i="16"/>
  <c r="K28" i="8"/>
  <c r="L21" i="8"/>
  <c r="L28" i="8" s="1"/>
  <c r="D30" i="8" s="1"/>
  <c r="L28" i="4"/>
  <c r="D30" i="4" s="1"/>
  <c r="L28" i="15"/>
  <c r="L28" i="5"/>
  <c r="D30" i="5"/>
  <c r="M19" i="5"/>
  <c r="Q40" i="1"/>
  <c r="H10" i="1"/>
  <c r="K10" i="1"/>
  <c r="G10" i="47"/>
  <c r="C12" i="47"/>
  <c r="C11" i="47"/>
  <c r="D10" i="47"/>
  <c r="C9" i="47"/>
  <c r="C12" i="46"/>
  <c r="C11" i="46"/>
  <c r="D10" i="46"/>
  <c r="C9" i="46"/>
  <c r="G10" i="46"/>
  <c r="F26" i="47"/>
  <c r="G9" i="47"/>
  <c r="F26" i="46"/>
  <c r="G9" i="46"/>
  <c r="F26" i="45"/>
  <c r="G10" i="44"/>
  <c r="C12" i="44"/>
  <c r="C11" i="44"/>
  <c r="D10" i="44"/>
  <c r="C9" i="44"/>
  <c r="G26" i="42"/>
  <c r="G12" i="42"/>
  <c r="C14" i="42"/>
  <c r="C13" i="42"/>
  <c r="D12" i="42"/>
  <c r="C11" i="42"/>
  <c r="G12" i="41"/>
  <c r="C14" i="41"/>
  <c r="C13" i="41"/>
  <c r="D12" i="41"/>
  <c r="C11" i="41"/>
  <c r="G12" i="40"/>
  <c r="C14" i="40"/>
  <c r="C13" i="40"/>
  <c r="D12" i="40"/>
  <c r="C11" i="40"/>
  <c r="C11" i="39"/>
  <c r="C14" i="39"/>
  <c r="C13" i="39"/>
  <c r="G12" i="39"/>
  <c r="G12" i="38"/>
  <c r="C13" i="38"/>
  <c r="D12" i="38"/>
  <c r="C11" i="38"/>
  <c r="G12" i="37"/>
  <c r="G12" i="36"/>
  <c r="G12" i="35"/>
  <c r="G12" i="26"/>
  <c r="G12" i="25"/>
  <c r="G12" i="24"/>
  <c r="G12" i="22"/>
  <c r="G12" i="21"/>
  <c r="G12" i="20"/>
  <c r="G12" i="19"/>
  <c r="G12" i="18"/>
  <c r="C14" i="18"/>
  <c r="D12" i="18"/>
  <c r="C11" i="18"/>
  <c r="C13" i="18"/>
  <c r="C14" i="17"/>
  <c r="C13" i="17"/>
  <c r="C11" i="17"/>
  <c r="G12" i="17"/>
  <c r="G12" i="16"/>
  <c r="C14" i="16"/>
  <c r="C13" i="16"/>
  <c r="C11" i="16"/>
  <c r="G12" i="34"/>
  <c r="C14" i="34"/>
  <c r="C13" i="34"/>
  <c r="C11" i="34"/>
  <c r="G12" i="32"/>
  <c r="C14" i="32"/>
  <c r="C13" i="32"/>
  <c r="C11" i="32"/>
  <c r="F26" i="44"/>
  <c r="G9" i="44"/>
  <c r="F26" i="43"/>
  <c r="F28" i="42"/>
  <c r="G11" i="42"/>
  <c r="F28" i="41"/>
  <c r="G11" i="41"/>
  <c r="F28" i="40"/>
  <c r="G11" i="40"/>
  <c r="F28" i="39"/>
  <c r="D12" i="39"/>
  <c r="G11" i="39"/>
  <c r="F28" i="38"/>
  <c r="C14" i="38"/>
  <c r="G11" i="38"/>
  <c r="C14" i="31"/>
  <c r="C13" i="31"/>
  <c r="C11" i="31"/>
  <c r="G12" i="31"/>
  <c r="C14" i="30"/>
  <c r="C13" i="30"/>
  <c r="C11" i="30"/>
  <c r="G12" i="30"/>
  <c r="C14" i="29"/>
  <c r="C13" i="29"/>
  <c r="C11" i="29"/>
  <c r="G12" i="29"/>
  <c r="G12" i="28"/>
  <c r="C14" i="28"/>
  <c r="C13" i="28"/>
  <c r="C11" i="28"/>
  <c r="C14" i="15"/>
  <c r="C13" i="15"/>
  <c r="D12" i="15"/>
  <c r="C11" i="15"/>
  <c r="G12" i="15"/>
  <c r="G11" i="37"/>
  <c r="F28" i="36"/>
  <c r="G11" i="36"/>
  <c r="F28" i="35"/>
  <c r="G11" i="35"/>
  <c r="F28" i="34"/>
  <c r="G11" i="34"/>
  <c r="F28" i="33"/>
  <c r="G11" i="32"/>
  <c r="F28" i="31"/>
  <c r="G11" i="31"/>
  <c r="F28" i="30"/>
  <c r="G11" i="30"/>
  <c r="F28" i="29"/>
  <c r="G11" i="29"/>
  <c r="G11" i="28"/>
  <c r="F28" i="26"/>
  <c r="G11" i="26"/>
  <c r="F28" i="25"/>
  <c r="G11" i="25"/>
  <c r="F28" i="24"/>
  <c r="G11" i="24"/>
  <c r="F28" i="23"/>
  <c r="F28" i="22"/>
  <c r="G11" i="22"/>
  <c r="F28" i="21"/>
  <c r="G11" i="21"/>
  <c r="F28" i="20"/>
  <c r="G11" i="20"/>
  <c r="F28" i="19"/>
  <c r="G11" i="19"/>
  <c r="F28" i="18"/>
  <c r="G11" i="18"/>
  <c r="F28" i="17"/>
  <c r="G11" i="17"/>
  <c r="F28" i="16"/>
  <c r="G11" i="16"/>
  <c r="G11" i="15"/>
  <c r="G25" i="47"/>
  <c r="G23" i="45"/>
  <c r="G27" i="42"/>
  <c r="G27" i="41"/>
  <c r="AF43" i="1"/>
  <c r="AC43" i="1"/>
  <c r="Z43" i="1"/>
  <c r="W43" i="1"/>
  <c r="T43" i="1"/>
  <c r="K43" i="1"/>
  <c r="H43" i="1"/>
  <c r="G27" i="39"/>
  <c r="AC42" i="1"/>
  <c r="Z42" i="1"/>
  <c r="W42" i="1"/>
  <c r="T42" i="1"/>
  <c r="K42" i="1"/>
  <c r="H42" i="1"/>
  <c r="AF41" i="1"/>
  <c r="AC41" i="1"/>
  <c r="Z41" i="1"/>
  <c r="W41" i="1"/>
  <c r="T41" i="1"/>
  <c r="K41" i="1"/>
  <c r="H41" i="1"/>
  <c r="AF40" i="1"/>
  <c r="AC40" i="1"/>
  <c r="Z40" i="1"/>
  <c r="W40" i="1"/>
  <c r="K40" i="1"/>
  <c r="H40" i="1"/>
  <c r="AF39" i="1"/>
  <c r="AC39" i="1"/>
  <c r="Z39" i="1"/>
  <c r="W39" i="1"/>
  <c r="T39" i="1"/>
  <c r="K39" i="1"/>
  <c r="H39" i="1"/>
  <c r="AC38" i="1"/>
  <c r="Z38" i="1"/>
  <c r="W38" i="1"/>
  <c r="T38" i="1"/>
  <c r="K38" i="1"/>
  <c r="H38" i="1"/>
  <c r="AF37" i="1"/>
  <c r="AC37" i="1"/>
  <c r="Z37" i="1"/>
  <c r="W37" i="1"/>
  <c r="T37" i="1"/>
  <c r="K37" i="1"/>
  <c r="H37" i="1"/>
  <c r="AC36" i="1"/>
  <c r="Z36" i="1"/>
  <c r="W36" i="1"/>
  <c r="T36" i="1"/>
  <c r="K36" i="1"/>
  <c r="H36" i="1"/>
  <c r="AF35" i="1"/>
  <c r="AC35" i="1"/>
  <c r="Z35" i="1"/>
  <c r="W35" i="1"/>
  <c r="T35" i="1"/>
  <c r="K35" i="1"/>
  <c r="H35" i="1"/>
  <c r="AC34" i="1"/>
  <c r="Z34" i="1"/>
  <c r="W34" i="1"/>
  <c r="T34" i="1"/>
  <c r="K34" i="1"/>
  <c r="H34" i="1"/>
  <c r="AF33" i="1"/>
  <c r="AC33" i="1"/>
  <c r="Z33" i="1"/>
  <c r="W33" i="1"/>
  <c r="T33" i="1"/>
  <c r="K33" i="1"/>
  <c r="H33" i="1"/>
  <c r="AF32" i="1"/>
  <c r="AC32" i="1"/>
  <c r="Z32" i="1"/>
  <c r="W32" i="1"/>
  <c r="T32" i="1"/>
  <c r="K32" i="1"/>
  <c r="H32" i="1"/>
  <c r="AF31" i="1"/>
  <c r="AC31" i="1"/>
  <c r="Z31" i="1"/>
  <c r="W31" i="1"/>
  <c r="T31" i="1"/>
  <c r="K31" i="1"/>
  <c r="H31" i="1"/>
  <c r="AF30" i="1"/>
  <c r="AC30" i="1"/>
  <c r="Z30" i="1"/>
  <c r="W30" i="1"/>
  <c r="T30" i="1"/>
  <c r="K30" i="1"/>
  <c r="H30" i="1"/>
  <c r="AF29" i="1"/>
  <c r="AC29" i="1"/>
  <c r="Z29" i="1"/>
  <c r="W29" i="1"/>
  <c r="T29" i="1"/>
  <c r="K29" i="1"/>
  <c r="H29" i="1"/>
  <c r="AC28" i="1"/>
  <c r="Z28" i="1"/>
  <c r="W28" i="1"/>
  <c r="T28" i="1"/>
  <c r="K28" i="1"/>
  <c r="H28" i="1"/>
  <c r="AF27" i="1"/>
  <c r="AC27" i="1"/>
  <c r="Z27" i="1"/>
  <c r="W27" i="1"/>
  <c r="T27" i="1"/>
  <c r="K27" i="1"/>
  <c r="H27" i="1"/>
  <c r="AC26" i="1"/>
  <c r="Z26" i="1"/>
  <c r="W26" i="1"/>
  <c r="T26" i="1"/>
  <c r="K26" i="1"/>
  <c r="H26" i="1"/>
  <c r="AF25" i="1"/>
  <c r="AC25" i="1"/>
  <c r="Z25" i="1"/>
  <c r="W25" i="1"/>
  <c r="T25" i="1"/>
  <c r="K25" i="1"/>
  <c r="H25" i="1"/>
  <c r="AF24" i="1"/>
  <c r="AC24" i="1"/>
  <c r="Z24" i="1"/>
  <c r="W24" i="1"/>
  <c r="K24" i="1"/>
  <c r="H24" i="1"/>
  <c r="AF23" i="1"/>
  <c r="AC23" i="1"/>
  <c r="Z23" i="1"/>
  <c r="W23" i="1"/>
  <c r="T23" i="1"/>
  <c r="K23" i="1"/>
  <c r="H23" i="1"/>
  <c r="AF22" i="1"/>
  <c r="AC22" i="1"/>
  <c r="Z22" i="1"/>
  <c r="W22" i="1"/>
  <c r="T22" i="1"/>
  <c r="K22" i="1"/>
  <c r="H22" i="1"/>
  <c r="AF21" i="1"/>
  <c r="AC21" i="1"/>
  <c r="Z21" i="1"/>
  <c r="W21" i="1"/>
  <c r="T21" i="1"/>
  <c r="H21" i="1"/>
  <c r="Z20" i="1"/>
  <c r="W20" i="1"/>
  <c r="T20" i="1"/>
  <c r="K20" i="1"/>
  <c r="H20" i="1"/>
  <c r="AF19" i="1"/>
  <c r="AC19" i="1"/>
  <c r="Z19" i="1"/>
  <c r="W19" i="1"/>
  <c r="T19" i="1"/>
  <c r="K19" i="1"/>
  <c r="H19" i="1"/>
  <c r="AC18" i="1"/>
  <c r="Z18" i="1"/>
  <c r="W18" i="1"/>
  <c r="T18" i="1"/>
  <c r="K18" i="1"/>
  <c r="H18" i="1"/>
  <c r="AF17" i="1"/>
  <c r="AC17" i="1"/>
  <c r="Z17" i="1"/>
  <c r="W17" i="1"/>
  <c r="T17" i="1"/>
  <c r="Q17" i="1"/>
  <c r="K17" i="1"/>
  <c r="H17" i="1"/>
  <c r="AC16" i="1"/>
  <c r="Z16" i="1"/>
  <c r="W16" i="1"/>
  <c r="T16" i="1"/>
  <c r="Q16" i="1"/>
  <c r="K16" i="1"/>
  <c r="H16" i="1"/>
  <c r="AF15" i="1"/>
  <c r="AC15" i="1"/>
  <c r="Z15" i="1"/>
  <c r="W15" i="1"/>
  <c r="T15" i="1"/>
  <c r="Q15" i="1"/>
  <c r="K15" i="1"/>
  <c r="H15" i="1"/>
  <c r="AF14" i="1"/>
  <c r="AC14" i="1"/>
  <c r="Z14" i="1"/>
  <c r="W14" i="1"/>
  <c r="T14" i="1"/>
  <c r="K14" i="1"/>
  <c r="H14" i="1"/>
  <c r="AC13" i="1"/>
  <c r="Z13" i="1"/>
  <c r="W13" i="1"/>
  <c r="T13" i="1"/>
  <c r="Q13" i="1"/>
  <c r="K13" i="1"/>
  <c r="H13" i="1"/>
  <c r="AF12" i="1"/>
  <c r="AC12" i="1"/>
  <c r="Z12" i="1"/>
  <c r="T12" i="1"/>
  <c r="Q12" i="1"/>
  <c r="K12" i="1"/>
  <c r="H12" i="1"/>
  <c r="Z11" i="1"/>
  <c r="W11" i="1"/>
  <c r="AF10" i="1"/>
  <c r="AC10" i="1"/>
  <c r="T10" i="1"/>
  <c r="Q10" i="1"/>
  <c r="E7" i="1"/>
  <c r="H26" i="34" l="1"/>
  <c r="J27" i="34" s="1"/>
  <c r="AC11" i="1"/>
  <c r="T11" i="1"/>
  <c r="Q11" i="1"/>
  <c r="K11" i="1"/>
  <c r="H11" i="1"/>
  <c r="I24" i="5"/>
  <c r="G21" i="45"/>
  <c r="G26" i="38"/>
  <c r="G21" i="39"/>
  <c r="G23" i="40"/>
  <c r="G25" i="41"/>
  <c r="G19" i="42"/>
  <c r="G19" i="43"/>
  <c r="G21" i="44"/>
  <c r="G22" i="45"/>
  <c r="H22" i="45" s="1"/>
  <c r="I22" i="45" s="1"/>
  <c r="G24" i="46"/>
  <c r="G18" i="47"/>
  <c r="G19" i="38"/>
  <c r="G27" i="38"/>
  <c r="G22" i="39"/>
  <c r="G24" i="40"/>
  <c r="G26" i="41"/>
  <c r="G20" i="42"/>
  <c r="G20" i="43"/>
  <c r="G22" i="44"/>
  <c r="G17" i="46"/>
  <c r="G25" i="46"/>
  <c r="G19" i="47"/>
  <c r="G20" i="38"/>
  <c r="G23" i="39"/>
  <c r="G25" i="40"/>
  <c r="G19" i="41"/>
  <c r="G21" i="42"/>
  <c r="G21" i="43"/>
  <c r="G23" i="44"/>
  <c r="G24" i="45"/>
  <c r="G18" i="46"/>
  <c r="G20" i="47"/>
  <c r="G21" i="38"/>
  <c r="G24" i="39"/>
  <c r="G26" i="40"/>
  <c r="G20" i="41"/>
  <c r="G22" i="42"/>
  <c r="G22" i="43"/>
  <c r="G24" i="44"/>
  <c r="G17" i="45"/>
  <c r="G25" i="45"/>
  <c r="G19" i="46"/>
  <c r="G21" i="47"/>
  <c r="G22" i="38"/>
  <c r="G25" i="39"/>
  <c r="G19" i="40"/>
  <c r="G27" i="40"/>
  <c r="G21" i="41"/>
  <c r="G23" i="42"/>
  <c r="G23" i="43"/>
  <c r="G17" i="44"/>
  <c r="G25" i="44"/>
  <c r="G18" i="45"/>
  <c r="G20" i="46"/>
  <c r="G22" i="47"/>
  <c r="H24" i="34"/>
  <c r="G23" i="38"/>
  <c r="G26" i="39"/>
  <c r="H26" i="39" s="1"/>
  <c r="L26" i="39" s="1"/>
  <c r="G20" i="40"/>
  <c r="G22" i="41"/>
  <c r="G24" i="42"/>
  <c r="G24" i="43"/>
  <c r="G18" i="44"/>
  <c r="G19" i="45"/>
  <c r="G21" i="46"/>
  <c r="G23" i="47"/>
  <c r="G24" i="38"/>
  <c r="G19" i="39"/>
  <c r="G21" i="40"/>
  <c r="G23" i="41"/>
  <c r="G25" i="42"/>
  <c r="G17" i="43"/>
  <c r="G25" i="43"/>
  <c r="G19" i="44"/>
  <c r="G20" i="45"/>
  <c r="G22" i="46"/>
  <c r="G24" i="47"/>
  <c r="H24" i="47" s="1"/>
  <c r="L24" i="47" s="1"/>
  <c r="G25" i="38"/>
  <c r="G20" i="39"/>
  <c r="G22" i="40"/>
  <c r="G24" i="41"/>
  <c r="G18" i="43"/>
  <c r="G20" i="44"/>
  <c r="G23" i="46"/>
  <c r="G17" i="47"/>
  <c r="H26" i="42"/>
  <c r="L26" i="42" s="1"/>
  <c r="Q14" i="1"/>
  <c r="AC20" i="1"/>
  <c r="AG12" i="1"/>
  <c r="AH12" i="1" s="1"/>
  <c r="AG42" i="1"/>
  <c r="AH42" i="1" s="1"/>
  <c r="AG24" i="1"/>
  <c r="AH24" i="1" s="1"/>
  <c r="AG34" i="1"/>
  <c r="AH34" i="1" s="1"/>
  <c r="AG28" i="1"/>
  <c r="AH28" i="1" s="1"/>
  <c r="AG38" i="1"/>
  <c r="AH38" i="1" s="1"/>
  <c r="AG36" i="1"/>
  <c r="AH36" i="1" s="1"/>
  <c r="AG40" i="1"/>
  <c r="AH40" i="1" s="1"/>
  <c r="AG18" i="1"/>
  <c r="AH18" i="1" s="1"/>
  <c r="AG16" i="1"/>
  <c r="AH16" i="1" s="1"/>
  <c r="AG26" i="1"/>
  <c r="AH26" i="1" s="1"/>
  <c r="AG13" i="1"/>
  <c r="AH13" i="1" s="1"/>
  <c r="AG11" i="1"/>
  <c r="AH11" i="1" s="1"/>
  <c r="AG14" i="1"/>
  <c r="AH14" i="1" s="1"/>
  <c r="AG10" i="1"/>
  <c r="AH10" i="1" s="1"/>
  <c r="AG32" i="1"/>
  <c r="AH32" i="1" s="1"/>
  <c r="AG20" i="1"/>
  <c r="AH20" i="1" s="1"/>
  <c r="T24" i="1"/>
  <c r="AF38" i="1"/>
  <c r="W10" i="1"/>
  <c r="W12" i="1"/>
  <c r="AF16" i="1"/>
  <c r="AG21" i="1"/>
  <c r="AH21" i="1" s="1"/>
  <c r="AG22" i="1"/>
  <c r="AH22" i="1" s="1"/>
  <c r="AG29" i="1"/>
  <c r="AH29" i="1" s="1"/>
  <c r="AG30" i="1"/>
  <c r="AH30" i="1" s="1"/>
  <c r="AG37" i="1"/>
  <c r="AH37" i="1" s="1"/>
  <c r="AG23" i="1"/>
  <c r="AH23" i="1" s="1"/>
  <c r="M47" i="1"/>
  <c r="M45" i="1"/>
  <c r="M46" i="1"/>
  <c r="Y47" i="1"/>
  <c r="Y45" i="1"/>
  <c r="Y46" i="1"/>
  <c r="AF28" i="1"/>
  <c r="AF36" i="1"/>
  <c r="T40" i="1"/>
  <c r="Z10" i="1"/>
  <c r="AF11" i="1"/>
  <c r="AF13" i="1"/>
  <c r="AG17" i="1"/>
  <c r="AH17" i="1" s="1"/>
  <c r="AG27" i="1"/>
  <c r="AH27" i="1" s="1"/>
  <c r="AG35" i="1"/>
  <c r="AH35" i="1" s="1"/>
  <c r="AG43" i="1"/>
  <c r="AH43" i="1" s="1"/>
  <c r="J47" i="1"/>
  <c r="J46" i="1"/>
  <c r="J45" i="1"/>
  <c r="P46" i="1"/>
  <c r="P45" i="1"/>
  <c r="P47" i="1"/>
  <c r="AB47" i="1"/>
  <c r="AB45" i="1"/>
  <c r="AB46" i="1"/>
  <c r="AF18" i="1"/>
  <c r="AF26" i="1"/>
  <c r="AF34" i="1"/>
  <c r="AF42" i="1"/>
  <c r="AG31" i="1"/>
  <c r="AH31" i="1" s="1"/>
  <c r="AG15" i="1"/>
  <c r="AH15" i="1" s="1"/>
  <c r="AG25" i="1"/>
  <c r="AH25" i="1" s="1"/>
  <c r="AG33" i="1"/>
  <c r="AH33" i="1" s="1"/>
  <c r="AG41" i="1"/>
  <c r="AH41" i="1" s="1"/>
  <c r="AG39" i="1"/>
  <c r="AH39" i="1" s="1"/>
  <c r="V45" i="1"/>
  <c r="V46" i="1"/>
  <c r="V47" i="1"/>
  <c r="G47" i="1"/>
  <c r="G45" i="1"/>
  <c r="G46" i="1"/>
  <c r="S47" i="1"/>
  <c r="S46" i="1"/>
  <c r="S45" i="1"/>
  <c r="AE47" i="1"/>
  <c r="AE45" i="1"/>
  <c r="AE46" i="1"/>
  <c r="AG19" i="1"/>
  <c r="AH19" i="1" s="1"/>
  <c r="H21" i="34" l="1"/>
  <c r="J26" i="34"/>
  <c r="K26" i="34" s="1"/>
  <c r="L26" i="34" s="1"/>
  <c r="H24" i="35"/>
  <c r="M24" i="35" s="1"/>
  <c r="J24" i="34"/>
  <c r="J25" i="34"/>
  <c r="H24" i="23"/>
  <c r="J24" i="23" s="1"/>
  <c r="H26" i="23"/>
  <c r="J27" i="23" s="1"/>
  <c r="D30" i="14"/>
  <c r="H22" i="46"/>
  <c r="I22" i="46" s="1"/>
  <c r="H22" i="44"/>
  <c r="L22" i="44" s="1"/>
  <c r="H24" i="44"/>
  <c r="I24" i="44" s="1"/>
  <c r="H17" i="45"/>
  <c r="L17" i="45" s="1"/>
  <c r="I24" i="47"/>
  <c r="H22" i="47"/>
  <c r="I22" i="47" s="1"/>
  <c r="H24" i="46"/>
  <c r="L24" i="46" s="1"/>
  <c r="L22" i="45"/>
  <c r="H24" i="45"/>
  <c r="L24" i="45" s="1"/>
  <c r="H19" i="41"/>
  <c r="I19" i="41" s="1"/>
  <c r="H19" i="40"/>
  <c r="L19" i="40" s="1"/>
  <c r="H26" i="38"/>
  <c r="L26" i="38" s="1"/>
  <c r="D31" i="11"/>
  <c r="D31" i="8"/>
  <c r="I26" i="5"/>
  <c r="H19" i="45"/>
  <c r="I19" i="45" s="1"/>
  <c r="H21" i="41"/>
  <c r="L21" i="41" s="1"/>
  <c r="H21" i="39"/>
  <c r="L21" i="39" s="1"/>
  <c r="H21" i="42"/>
  <c r="L21" i="42" s="1"/>
  <c r="H17" i="43"/>
  <c r="L17" i="43" s="1"/>
  <c r="H17" i="47"/>
  <c r="L17" i="47" s="1"/>
  <c r="H19" i="39"/>
  <c r="L19" i="39" s="1"/>
  <c r="H21" i="38"/>
  <c r="I21" i="38" s="1"/>
  <c r="H19" i="43"/>
  <c r="L19" i="43" s="1"/>
  <c r="H19" i="42"/>
  <c r="I19" i="42" s="1"/>
  <c r="H19" i="46"/>
  <c r="H19" i="47"/>
  <c r="H17" i="46"/>
  <c r="I26" i="42"/>
  <c r="H24" i="43"/>
  <c r="H24" i="42"/>
  <c r="H21" i="40"/>
  <c r="H17" i="44"/>
  <c r="H24" i="41"/>
  <c r="H26" i="41"/>
  <c r="L26" i="41" s="1"/>
  <c r="H24" i="40"/>
  <c r="H26" i="40"/>
  <c r="L26" i="40" s="1"/>
  <c r="H24" i="39"/>
  <c r="H24" i="38"/>
  <c r="H22" i="43"/>
  <c r="H19" i="38"/>
  <c r="H19" i="44"/>
  <c r="I26" i="39"/>
  <c r="I21" i="20"/>
  <c r="I24" i="34"/>
  <c r="I21" i="34"/>
  <c r="AG45" i="1"/>
  <c r="AG46" i="1"/>
  <c r="AG47" i="1"/>
  <c r="J22" i="34" l="1"/>
  <c r="J25" i="23"/>
  <c r="K24" i="23" s="1"/>
  <c r="K24" i="34"/>
  <c r="L24" i="34" s="1"/>
  <c r="I24" i="23"/>
  <c r="I21" i="23"/>
  <c r="J21" i="34"/>
  <c r="M26" i="34"/>
  <c r="I21" i="24"/>
  <c r="I19" i="24"/>
  <c r="J26" i="23"/>
  <c r="K26" i="23" s="1"/>
  <c r="L26" i="23" s="1"/>
  <c r="I19" i="23"/>
  <c r="J19" i="31"/>
  <c r="J20" i="31"/>
  <c r="J25" i="29"/>
  <c r="J26" i="29"/>
  <c r="K26" i="29" s="1"/>
  <c r="L26" i="29" s="1"/>
  <c r="J21" i="29"/>
  <c r="J22" i="29"/>
  <c r="J20" i="29"/>
  <c r="J19" i="29"/>
  <c r="M26" i="5"/>
  <c r="M24" i="5"/>
  <c r="M26" i="21"/>
  <c r="I21" i="21"/>
  <c r="I19" i="19"/>
  <c r="I21" i="19"/>
  <c r="M21" i="31"/>
  <c r="I24" i="30"/>
  <c r="I21" i="30"/>
  <c r="I24" i="29"/>
  <c r="I19" i="29"/>
  <c r="D31" i="14"/>
  <c r="L22" i="46"/>
  <c r="I26" i="21"/>
  <c r="I26" i="30"/>
  <c r="I26" i="29"/>
  <c r="I22" i="44"/>
  <c r="I24" i="45"/>
  <c r="L24" i="44"/>
  <c r="I17" i="45"/>
  <c r="L22" i="47"/>
  <c r="L19" i="45"/>
  <c r="H26" i="45"/>
  <c r="I19" i="40"/>
  <c r="I26" i="38"/>
  <c r="I24" i="46"/>
  <c r="L19" i="41"/>
  <c r="I21" i="5"/>
  <c r="I28" i="5" s="1"/>
  <c r="I21" i="42"/>
  <c r="H28" i="41"/>
  <c r="I21" i="41"/>
  <c r="I21" i="39"/>
  <c r="I19" i="43"/>
  <c r="H26" i="47"/>
  <c r="I17" i="47"/>
  <c r="I19" i="39"/>
  <c r="I17" i="43"/>
  <c r="L19" i="42"/>
  <c r="L21" i="38"/>
  <c r="L19" i="46"/>
  <c r="I19" i="46"/>
  <c r="L17" i="46"/>
  <c r="H26" i="46"/>
  <c r="I17" i="46"/>
  <c r="L19" i="47"/>
  <c r="I19" i="47"/>
  <c r="I19" i="17"/>
  <c r="L21" i="40"/>
  <c r="I21" i="40"/>
  <c r="H28" i="40"/>
  <c r="I24" i="38"/>
  <c r="L24" i="38"/>
  <c r="I24" i="40"/>
  <c r="L24" i="40"/>
  <c r="L24" i="42"/>
  <c r="I24" i="42"/>
  <c r="I26" i="17"/>
  <c r="I26" i="41"/>
  <c r="L24" i="43"/>
  <c r="I24" i="43"/>
  <c r="L19" i="44"/>
  <c r="I19" i="44"/>
  <c r="L24" i="39"/>
  <c r="I24" i="39"/>
  <c r="I24" i="41"/>
  <c r="L24" i="41"/>
  <c r="H28" i="39"/>
  <c r="H26" i="43"/>
  <c r="L22" i="43"/>
  <c r="I22" i="43"/>
  <c r="L19" i="38"/>
  <c r="H28" i="38"/>
  <c r="I19" i="38"/>
  <c r="I26" i="40"/>
  <c r="H26" i="44"/>
  <c r="I17" i="44"/>
  <c r="L17" i="44"/>
  <c r="H28" i="42"/>
  <c r="I21" i="17"/>
  <c r="I19" i="18"/>
  <c r="I24" i="25"/>
  <c r="I24" i="35"/>
  <c r="I21" i="22"/>
  <c r="I21" i="18"/>
  <c r="I24" i="22"/>
  <c r="I24" i="33"/>
  <c r="H28" i="34"/>
  <c r="I26" i="31"/>
  <c r="I21" i="29"/>
  <c r="I26" i="34"/>
  <c r="I19" i="20"/>
  <c r="I26" i="35"/>
  <c r="I24" i="19"/>
  <c r="I26" i="23"/>
  <c r="I24" i="24"/>
  <c r="I21" i="25"/>
  <c r="H28" i="25"/>
  <c r="I26" i="25"/>
  <c r="I21" i="31"/>
  <c r="I19" i="21"/>
  <c r="H28" i="23"/>
  <c r="H28" i="24"/>
  <c r="I21" i="33"/>
  <c r="I26" i="24"/>
  <c r="I24" i="16"/>
  <c r="I21" i="35"/>
  <c r="I26" i="33"/>
  <c r="I26" i="26"/>
  <c r="H28" i="21"/>
  <c r="I19" i="26"/>
  <c r="I19" i="25"/>
  <c r="I26" i="18"/>
  <c r="I19" i="34"/>
  <c r="I24" i="17"/>
  <c r="H28" i="35"/>
  <c r="I19" i="35"/>
  <c r="I26" i="19"/>
  <c r="I24" i="18"/>
  <c r="I24" i="20"/>
  <c r="I26" i="22"/>
  <c r="H28" i="19"/>
  <c r="I19" i="33"/>
  <c r="H28" i="33"/>
  <c r="H28" i="26"/>
  <c r="I21" i="26"/>
  <c r="I26" i="16"/>
  <c r="I21" i="16"/>
  <c r="I19" i="22"/>
  <c r="H28" i="22"/>
  <c r="H28" i="18"/>
  <c r="H28" i="16"/>
  <c r="I19" i="16"/>
  <c r="I24" i="21"/>
  <c r="I26" i="20"/>
  <c r="I24" i="31"/>
  <c r="I19" i="31"/>
  <c r="I24" i="26"/>
  <c r="I19" i="30"/>
  <c r="K24" i="29" l="1"/>
  <c r="L24" i="29" s="1"/>
  <c r="K21" i="34"/>
  <c r="L21" i="34" s="1"/>
  <c r="L28" i="34" s="1"/>
  <c r="D30" i="34" s="1"/>
  <c r="D31" i="34" s="1"/>
  <c r="K19" i="29"/>
  <c r="M19" i="29" s="1"/>
  <c r="K21" i="29"/>
  <c r="L21" i="29" s="1"/>
  <c r="L24" i="23"/>
  <c r="L28" i="23" s="1"/>
  <c r="D30" i="23" s="1"/>
  <c r="D31" i="23" s="1"/>
  <c r="K28" i="23"/>
  <c r="K19" i="31"/>
  <c r="I28" i="23"/>
  <c r="M24" i="34"/>
  <c r="M24" i="24"/>
  <c r="M26" i="24"/>
  <c r="M19" i="24"/>
  <c r="M21" i="23"/>
  <c r="M19" i="23"/>
  <c r="M26" i="23"/>
  <c r="M24" i="23"/>
  <c r="M26" i="30"/>
  <c r="D31" i="5"/>
  <c r="M19" i="22"/>
  <c r="M26" i="31"/>
  <c r="M21" i="16"/>
  <c r="M26" i="22"/>
  <c r="M21" i="22"/>
  <c r="M26" i="16"/>
  <c r="D31" i="10"/>
  <c r="D31" i="13"/>
  <c r="D30" i="12"/>
  <c r="D31" i="12" s="1"/>
  <c r="D28" i="45"/>
  <c r="D29" i="45" s="1"/>
  <c r="I26" i="45"/>
  <c r="I28" i="42"/>
  <c r="D28" i="47"/>
  <c r="D29" i="47" s="1"/>
  <c r="I26" i="46"/>
  <c r="I26" i="47"/>
  <c r="D28" i="46"/>
  <c r="D29" i="46" s="1"/>
  <c r="D28" i="44"/>
  <c r="D29" i="44" s="1"/>
  <c r="I26" i="44"/>
  <c r="D28" i="43"/>
  <c r="D29" i="43" s="1"/>
  <c r="D30" i="41"/>
  <c r="D31" i="41" s="1"/>
  <c r="I28" i="41"/>
  <c r="I28" i="40"/>
  <c r="I28" i="38"/>
  <c r="D30" i="39"/>
  <c r="D31" i="39" s="1"/>
  <c r="I28" i="39"/>
  <c r="I28" i="21"/>
  <c r="D30" i="40"/>
  <c r="D31" i="40" s="1"/>
  <c r="I26" i="43"/>
  <c r="D30" i="38"/>
  <c r="D31" i="38" s="1"/>
  <c r="D30" i="42"/>
  <c r="D31" i="42" s="1"/>
  <c r="I28" i="29"/>
  <c r="I28" i="24"/>
  <c r="D31" i="4"/>
  <c r="D30" i="25"/>
  <c r="D31" i="25" s="1"/>
  <c r="D30" i="24"/>
  <c r="D31" i="24" s="1"/>
  <c r="I28" i="25"/>
  <c r="D31" i="37"/>
  <c r="D31" i="20"/>
  <c r="I28" i="18"/>
  <c r="I28" i="16"/>
  <c r="D31" i="26"/>
  <c r="I28" i="30"/>
  <c r="I28" i="20"/>
  <c r="D31" i="36"/>
  <c r="I28" i="36"/>
  <c r="I28" i="26"/>
  <c r="I28" i="34"/>
  <c r="I28" i="22"/>
  <c r="D30" i="18"/>
  <c r="D31" i="18" s="1"/>
  <c r="I28" i="35"/>
  <c r="D30" i="35"/>
  <c r="D31" i="35" s="1"/>
  <c r="I28" i="19"/>
  <c r="D30" i="19" s="1"/>
  <c r="I28" i="17"/>
  <c r="D31" i="17"/>
  <c r="I28" i="33"/>
  <c r="I28" i="31"/>
  <c r="M21" i="34" l="1"/>
  <c r="K28" i="34"/>
  <c r="M21" i="29"/>
  <c r="K28" i="31"/>
  <c r="L19" i="31"/>
  <c r="L28" i="31" s="1"/>
  <c r="L19" i="29"/>
  <c r="L28" i="29" s="1"/>
  <c r="K28" i="29"/>
  <c r="M19" i="31"/>
  <c r="M21" i="30"/>
  <c r="M26" i="29"/>
  <c r="M21" i="24"/>
  <c r="D31" i="22"/>
  <c r="M24" i="31"/>
  <c r="M24" i="21"/>
  <c r="M24" i="29"/>
  <c r="M19" i="30"/>
  <c r="D31" i="19"/>
  <c r="M24" i="22"/>
  <c r="D31" i="32"/>
  <c r="D30" i="28"/>
  <c r="D31" i="28" s="1"/>
  <c r="D31" i="27"/>
  <c r="M19" i="21"/>
  <c r="D30" i="21"/>
  <c r="D31" i="21" s="1"/>
  <c r="M24" i="16"/>
  <c r="M24" i="30"/>
  <c r="D30" i="15"/>
  <c r="D31" i="15" s="1"/>
  <c r="D30" i="31" l="1"/>
  <c r="D31" i="31" s="1"/>
  <c r="D30" i="29"/>
  <c r="D31" i="29" s="1"/>
  <c r="D31" i="33"/>
  <c r="D30" i="16"/>
  <c r="D31" i="16" s="1"/>
  <c r="D30" i="30"/>
  <c r="D31" i="30" s="1"/>
</calcChain>
</file>

<file path=xl/sharedStrings.xml><?xml version="1.0" encoding="utf-8"?>
<sst xmlns="http://schemas.openxmlformats.org/spreadsheetml/2006/main" count="2421" uniqueCount="172">
  <si>
    <t>Classe : Licence Pro. Informatique-1ère année Tronc commun</t>
  </si>
  <si>
    <t xml:space="preserve">Année universitaire </t>
  </si>
  <si>
    <t>Résultats du 1er semestre</t>
  </si>
  <si>
    <t>BIF110-BASE INFORMATIQUES</t>
  </si>
  <si>
    <t>SINI120-SYSTEMES NUMERIQUE 1</t>
  </si>
  <si>
    <t>MTH130-MATHEMATIQUES 1</t>
  </si>
  <si>
    <t>EPC140-ENVIRONNEMENT PRO ET COMMUNICATION</t>
  </si>
  <si>
    <t>Unités d'enseignement</t>
  </si>
  <si>
    <t>INI111</t>
  </si>
  <si>
    <t>CIN112</t>
  </si>
  <si>
    <t>EDO121</t>
  </si>
  <si>
    <t>TSE122</t>
  </si>
  <si>
    <t>ASD123</t>
  </si>
  <si>
    <t>ANA131</t>
  </si>
  <si>
    <t>ALG132</t>
  </si>
  <si>
    <t>EEN141</t>
  </si>
  <si>
    <t>ANG142</t>
  </si>
  <si>
    <t>Modules</t>
  </si>
  <si>
    <t>Total crédit</t>
  </si>
  <si>
    <t>Notes</t>
  </si>
  <si>
    <t>EXA(%)</t>
  </si>
  <si>
    <t>Moyenne</t>
  </si>
  <si>
    <t>Résultat</t>
  </si>
  <si>
    <t>Résultat Semestre</t>
  </si>
  <si>
    <r>
      <rPr>
        <b/>
        <sz val="12"/>
        <color theme="0"/>
        <rFont val="Corbel"/>
        <family val="2"/>
      </rPr>
      <t>VISUALISER LES BULLETTINS</t>
    </r>
    <r>
      <rPr>
        <b/>
        <sz val="14"/>
        <color theme="0"/>
        <rFont val="Corbel"/>
        <family val="2"/>
      </rPr>
      <t xml:space="preserve"> </t>
    </r>
  </si>
  <si>
    <t>Nom(s) et Prénom(s)</t>
  </si>
  <si>
    <t>Date de naissance</t>
  </si>
  <si>
    <t>Nationalité</t>
  </si>
  <si>
    <t>Matricule</t>
  </si>
  <si>
    <t>Classe</t>
  </si>
  <si>
    <t>TC-A</t>
  </si>
  <si>
    <t>TC-B</t>
  </si>
  <si>
    <t>Moyennes générale</t>
  </si>
  <si>
    <t>Moyenne la + faible</t>
  </si>
  <si>
    <t>Moyenne la + forte</t>
  </si>
  <si>
    <t>RELEVE DE NOTE SEMESTRE 1</t>
  </si>
  <si>
    <t xml:space="preserve">Etudiant(e)                    </t>
  </si>
  <si>
    <t>Inscrit(e) en</t>
  </si>
  <si>
    <t xml:space="preserve">Date de naissance         </t>
  </si>
  <si>
    <t xml:space="preserve">Nationalité                     </t>
  </si>
  <si>
    <t>Option</t>
  </si>
  <si>
    <t xml:space="preserve">Matricule                       </t>
  </si>
  <si>
    <t>Redoublant</t>
  </si>
  <si>
    <t>Unités d'enseignement  (UE)</t>
  </si>
  <si>
    <t>Résultats obtenus</t>
  </si>
  <si>
    <t>Session</t>
  </si>
  <si>
    <t>Session de rattrapage</t>
  </si>
  <si>
    <t>Décision</t>
  </si>
  <si>
    <t>SEMESTRE 1</t>
  </si>
  <si>
    <t>Intitulé</t>
  </si>
  <si>
    <t>Crédit</t>
  </si>
  <si>
    <t>Module</t>
  </si>
  <si>
    <t>UE</t>
  </si>
  <si>
    <t>Note</t>
  </si>
  <si>
    <t>BFI110</t>
  </si>
  <si>
    <t>Bases informatique</t>
  </si>
  <si>
    <t>Initiation à l'informatique</t>
  </si>
  <si>
    <t>Codage de l'information</t>
  </si>
  <si>
    <t>SIN120</t>
  </si>
  <si>
    <t>Système informatique 1</t>
  </si>
  <si>
    <t>Architecture des ordinateurs 1</t>
  </si>
  <si>
    <t>Théorie des systèmes d'exploitation</t>
  </si>
  <si>
    <t>Algorithme &amp; structure des données</t>
  </si>
  <si>
    <t>MTH130</t>
  </si>
  <si>
    <t>Mathématiques 1</t>
  </si>
  <si>
    <t>Analyse 1</t>
  </si>
  <si>
    <t>Algèbre 1</t>
  </si>
  <si>
    <t>EPC140</t>
  </si>
  <si>
    <t>Environnement Professionnel et communication 1</t>
  </si>
  <si>
    <t>Economie d'entreprise</t>
  </si>
  <si>
    <t>Anglais</t>
  </si>
  <si>
    <t>Total</t>
  </si>
  <si>
    <t>Crédits validés</t>
  </si>
  <si>
    <t>La Directrice Générale</t>
  </si>
  <si>
    <t>Décision finale</t>
  </si>
  <si>
    <t>Absences non justifiées</t>
  </si>
  <si>
    <t>Dr. Zita Hermance MOUSSAMBI ép MABIALA</t>
  </si>
  <si>
    <t>Ecole supérieure privée reconnue par l’Etat, Téléphone +241 7623 7638 Email : contact@esiitech-gabon.com
Site web www.esiitech-gabon.com</t>
  </si>
  <si>
    <t>Licence Pro. Informatique-1ère année Tronc commun</t>
  </si>
  <si>
    <t>TC-1</t>
  </si>
  <si>
    <t xml:space="preserve"> Ecole supérieure privée reconnue par l’Etat, Téléphone +241 7623 7638 Email : contact@esiitech-gabon.com
Site web www.esiitech-gabon.com</t>
  </si>
  <si>
    <t>Gabonaise</t>
  </si>
  <si>
    <t>Bases informatiques</t>
  </si>
  <si>
    <t>Session normale</t>
  </si>
  <si>
    <r>
      <rPr>
        <sz val="18"/>
        <color rgb="FF00B0F0"/>
        <rFont val="Corbel"/>
        <family val="2"/>
      </rPr>
      <t>E</t>
    </r>
    <r>
      <rPr>
        <sz val="18"/>
        <color theme="1"/>
        <rFont val="Corbel"/>
        <family val="2"/>
      </rPr>
      <t xml:space="preserve">cole </t>
    </r>
    <r>
      <rPr>
        <sz val="18"/>
        <color rgb="FF00B0F0"/>
        <rFont val="Corbel"/>
        <family val="2"/>
      </rPr>
      <t>S</t>
    </r>
    <r>
      <rPr>
        <sz val="18"/>
        <color theme="1"/>
        <rFont val="Corbel"/>
        <family val="2"/>
      </rPr>
      <t>upérieure d’</t>
    </r>
    <r>
      <rPr>
        <sz val="18"/>
        <color rgb="FF00B0F0"/>
        <rFont val="Corbel"/>
        <family val="2"/>
      </rPr>
      <t>I</t>
    </r>
    <r>
      <rPr>
        <sz val="18"/>
        <color theme="1"/>
        <rFont val="Corbel"/>
        <family val="2"/>
      </rPr>
      <t>ngénierie et d’</t>
    </r>
    <r>
      <rPr>
        <sz val="18"/>
        <color rgb="FF00B0F0"/>
        <rFont val="Corbel"/>
        <family val="2"/>
      </rPr>
      <t>I</t>
    </r>
    <r>
      <rPr>
        <sz val="18"/>
        <color theme="1"/>
        <rFont val="Corbel"/>
        <family val="2"/>
      </rPr>
      <t xml:space="preserve">nnovation </t>
    </r>
    <r>
      <rPr>
        <sz val="18"/>
        <color rgb="FF00B0F0"/>
        <rFont val="Corbel"/>
        <family val="2"/>
      </rPr>
      <t>T</t>
    </r>
    <r>
      <rPr>
        <sz val="18"/>
        <color theme="1"/>
        <rFont val="Corbel"/>
        <family val="2"/>
      </rPr>
      <t xml:space="preserve">echnologique
 Année Académique 2023/2024
</t>
    </r>
    <r>
      <rPr>
        <sz val="10"/>
        <color theme="1"/>
        <rFont val="Corbel"/>
        <family val="2"/>
      </rPr>
      <t>Décrets N°0071/PRMESRSIT &amp; 0072/PR/MESRSIT</t>
    </r>
  </si>
  <si>
    <t>Redoublant:</t>
  </si>
  <si>
    <t>Option:</t>
  </si>
  <si>
    <t>Classe:</t>
  </si>
  <si>
    <t>Inscrit(e) en:</t>
  </si>
  <si>
    <r>
      <rPr>
        <sz val="18"/>
        <color rgb="FF00B0F0"/>
        <rFont val="Corbel"/>
        <family val="2"/>
      </rPr>
      <t>E</t>
    </r>
    <r>
      <rPr>
        <sz val="18"/>
        <color theme="1"/>
        <rFont val="Corbel"/>
        <family val="2"/>
      </rPr>
      <t xml:space="preserve">cole </t>
    </r>
    <r>
      <rPr>
        <sz val="18"/>
        <color rgb="FF00B0F0"/>
        <rFont val="Corbel"/>
        <family val="2"/>
      </rPr>
      <t>S</t>
    </r>
    <r>
      <rPr>
        <sz val="18"/>
        <color theme="1"/>
        <rFont val="Corbel"/>
        <family val="2"/>
      </rPr>
      <t>upérieure d’</t>
    </r>
    <r>
      <rPr>
        <sz val="18"/>
        <color rgb="FF00B0F0"/>
        <rFont val="Corbel"/>
        <family val="2"/>
      </rPr>
      <t>I</t>
    </r>
    <r>
      <rPr>
        <sz val="18"/>
        <color theme="1"/>
        <rFont val="Corbel"/>
        <family val="2"/>
      </rPr>
      <t>ngénierie et d’</t>
    </r>
    <r>
      <rPr>
        <sz val="18"/>
        <color rgb="FF00B0F0"/>
        <rFont val="Corbel"/>
        <family val="2"/>
      </rPr>
      <t>I</t>
    </r>
    <r>
      <rPr>
        <sz val="18"/>
        <color theme="1"/>
        <rFont val="Corbel"/>
        <family val="2"/>
      </rPr>
      <t xml:space="preserve">nnovation </t>
    </r>
    <r>
      <rPr>
        <sz val="18"/>
        <color rgb="FF00B0F0"/>
        <rFont val="Corbel"/>
        <family val="2"/>
      </rPr>
      <t>T</t>
    </r>
    <r>
      <rPr>
        <sz val="18"/>
        <color theme="1"/>
        <rFont val="Corbel"/>
        <family val="2"/>
      </rPr>
      <t xml:space="preserve">echnologique
 Année Académique 2024/2025
</t>
    </r>
    <r>
      <rPr>
        <sz val="10"/>
        <color theme="1"/>
        <rFont val="Corbel"/>
        <family val="2"/>
      </rPr>
      <t>Décrets N°0071/PRMESRSIT &amp; 0072/PR/MESRSIT</t>
    </r>
  </si>
  <si>
    <t>2024/2025</t>
  </si>
  <si>
    <t>ASSOUMOU MENGOME Augustin Evry</t>
  </si>
  <si>
    <t>012024</t>
  </si>
  <si>
    <t>BASSOUNGUIE Alexane-Edwige</t>
  </si>
  <si>
    <t>022024</t>
  </si>
  <si>
    <t>BIVIGOU MOUANGA William</t>
  </si>
  <si>
    <t>032024</t>
  </si>
  <si>
    <t>BOUKINDA Jean Claude</t>
  </si>
  <si>
    <t>042024</t>
  </si>
  <si>
    <t>DIBA WA DIBA Beni seth</t>
  </si>
  <si>
    <t>052024</t>
  </si>
  <si>
    <t>DIOMBE Océane Rosia</t>
  </si>
  <si>
    <t>062024</t>
  </si>
  <si>
    <t>Camerounaise</t>
  </si>
  <si>
    <t>072024</t>
  </si>
  <si>
    <t>EBAYI-AKOUANGOU Hansel</t>
  </si>
  <si>
    <t>082024</t>
  </si>
  <si>
    <t>EBENDE KWALLO Junior</t>
  </si>
  <si>
    <t>092024</t>
  </si>
  <si>
    <t>ESSONE MBA David Pascal</t>
  </si>
  <si>
    <t>102024</t>
  </si>
  <si>
    <t>FOUNA Junior Kelly</t>
  </si>
  <si>
    <t>112024</t>
  </si>
  <si>
    <t>HOUNDY Tim Jirel</t>
  </si>
  <si>
    <t>122024</t>
  </si>
  <si>
    <t>IPANI Lidia Miriam</t>
  </si>
  <si>
    <t>132024</t>
  </si>
  <si>
    <t>KALLA POATY Dana Michel</t>
  </si>
  <si>
    <t>142024</t>
  </si>
  <si>
    <t>KENGUEL NZAKAMOU Thérésa Yolaine</t>
  </si>
  <si>
    <t>152024</t>
  </si>
  <si>
    <t>M'BONGO KONARE BIGNOUMBA Ismael</t>
  </si>
  <si>
    <t>162024</t>
  </si>
  <si>
    <t>MBONGOMPASI ONANGA Clever</t>
  </si>
  <si>
    <t>182024</t>
  </si>
  <si>
    <t>MEKEHAN-ME-NGUEMA Emmanuelle Samina</t>
  </si>
  <si>
    <t>192024</t>
  </si>
  <si>
    <t>MOUSSAVOU MBADINGA Glen Jordy</t>
  </si>
  <si>
    <t>202024</t>
  </si>
  <si>
    <t>NGOMA BOUANGA Ray Meschak</t>
  </si>
  <si>
    <t>12/06/2006</t>
  </si>
  <si>
    <t>242024</t>
  </si>
  <si>
    <t>NGUEMA ELLA Yvan Clarence</t>
  </si>
  <si>
    <t>31/01/2006</t>
  </si>
  <si>
    <t>222024</t>
  </si>
  <si>
    <t>NGUIMBI Gloria Esther</t>
  </si>
  <si>
    <t>16/06/2006</t>
  </si>
  <si>
    <t>232024</t>
  </si>
  <si>
    <t>NKOUMOKE-MEYE Evan Brice</t>
  </si>
  <si>
    <t>16/01/2004</t>
  </si>
  <si>
    <t>252024</t>
  </si>
  <si>
    <t>NZAHOU MABEDI Celda Doraine</t>
  </si>
  <si>
    <t xml:space="preserve">  30/12/2006</t>
  </si>
  <si>
    <t>292024</t>
  </si>
  <si>
    <t>OLOUMANGINI Roger-Rosny</t>
  </si>
  <si>
    <t>20/04/1998</t>
  </si>
  <si>
    <t>262024</t>
  </si>
  <si>
    <t>PASTY HOUSSENI Abdou Nassere</t>
  </si>
  <si>
    <t>18/05/2003</t>
  </si>
  <si>
    <t>272024</t>
  </si>
  <si>
    <t>PROVIDENCE MADJOUKA SOH</t>
  </si>
  <si>
    <t>07/10/2006</t>
  </si>
  <si>
    <t>172024</t>
  </si>
  <si>
    <t>SONNA Franck Ninon</t>
  </si>
  <si>
    <t>25/06/2002</t>
  </si>
  <si>
    <t>282024</t>
  </si>
  <si>
    <t>25/08/2007</t>
  </si>
  <si>
    <t>302024</t>
  </si>
  <si>
    <t xml:space="preserve">YEMBI TSOKA Lyllian </t>
  </si>
  <si>
    <t>19/11/2004</t>
  </si>
  <si>
    <t>312024</t>
  </si>
  <si>
    <t>%</t>
  </si>
  <si>
    <r>
      <t>E</t>
    </r>
    <r>
      <rPr>
        <sz val="18"/>
        <color theme="1"/>
        <rFont val="Corbel"/>
        <family val="2"/>
      </rPr>
      <t xml:space="preserve">cole </t>
    </r>
    <r>
      <rPr>
        <sz val="18"/>
        <color rgb="FF00B0F0"/>
        <rFont val="Corbel"/>
        <family val="2"/>
      </rPr>
      <t>S</t>
    </r>
    <r>
      <rPr>
        <sz val="18"/>
        <color theme="1"/>
        <rFont val="Corbel"/>
        <family val="2"/>
      </rPr>
      <t>upérieure d’</t>
    </r>
    <r>
      <rPr>
        <sz val="18"/>
        <color rgb="FF00B0F0"/>
        <rFont val="Corbel"/>
        <family val="2"/>
      </rPr>
      <t>I</t>
    </r>
    <r>
      <rPr>
        <sz val="18"/>
        <color theme="1"/>
        <rFont val="Corbel"/>
        <family val="2"/>
      </rPr>
      <t>ngénierie et d’</t>
    </r>
    <r>
      <rPr>
        <sz val="18"/>
        <color rgb="FF00B0F0"/>
        <rFont val="Corbel"/>
        <family val="2"/>
      </rPr>
      <t>I</t>
    </r>
    <r>
      <rPr>
        <sz val="18"/>
        <color theme="1"/>
        <rFont val="Corbel"/>
        <family val="2"/>
      </rPr>
      <t xml:space="preserve">nnovation </t>
    </r>
    <r>
      <rPr>
        <sz val="18"/>
        <color rgb="FF00B0F0"/>
        <rFont val="Corbel"/>
        <family val="2"/>
      </rPr>
      <t>T</t>
    </r>
    <r>
      <rPr>
        <sz val="18"/>
        <color theme="1"/>
        <rFont val="Corbel"/>
        <family val="2"/>
      </rPr>
      <t xml:space="preserve">echnologique
 Année Académique 2024/2025
</t>
    </r>
    <r>
      <rPr>
        <sz val="10"/>
        <color theme="1"/>
        <rFont val="Corbel"/>
        <family val="2"/>
      </rPr>
      <t>Décrets N°0071/PRMESRSIT &amp; 0072/PR/MESRSIT</t>
    </r>
  </si>
  <si>
    <t>Thèorie des systèmes d'exploitation</t>
  </si>
  <si>
    <t>Codage de l'informatique</t>
  </si>
  <si>
    <t>Algorithmiques &amp; Structures de données</t>
  </si>
  <si>
    <t>KOFFI HOUNSOUGBIN Baurice</t>
  </si>
  <si>
    <t>MANIVA MAKOTY Leaticia</t>
  </si>
  <si>
    <t>NZOUGHE PAUL ALAIN</t>
  </si>
  <si>
    <t>Circuit Logique</t>
  </si>
  <si>
    <t>DJIETCHA NTIETCHI Pascale Floresse</t>
  </si>
  <si>
    <t>TALLA Jeremy Icknane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</si>
</sst>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Myriad Pro"/>
    </font>
    <font>
      <b/>
      <sz val="14"/>
      <color theme="1"/>
      <name val="Myriad Pro"/>
    </font>
    <font>
      <b/>
      <sz val="14"/>
      <color theme="1"/>
      <name val="Calibri"/>
      <family val="2"/>
      <scheme val="minor"/>
    </font>
    <font>
      <b/>
      <sz val="11"/>
      <color theme="1"/>
      <name val="Myriad Pro"/>
    </font>
    <font>
      <i/>
      <sz val="11"/>
      <color theme="0"/>
      <name val="Myriad Pro"/>
    </font>
    <font>
      <i/>
      <sz val="11"/>
      <color theme="0"/>
      <name val="Calibri"/>
      <family val="2"/>
      <scheme val="minor"/>
    </font>
    <font>
      <sz val="9"/>
      <color theme="1"/>
      <name val="Myriad Pro"/>
    </font>
    <font>
      <b/>
      <sz val="9"/>
      <color theme="1"/>
      <name val="Myriad Pro"/>
    </font>
    <font>
      <b/>
      <sz val="10"/>
      <color theme="1"/>
      <name val="Myriad Pro"/>
    </font>
    <font>
      <sz val="10"/>
      <color theme="1"/>
      <name val="Myriad Pro"/>
    </font>
    <font>
      <b/>
      <sz val="14"/>
      <color rgb="FF000000"/>
      <name val="Arial"/>
      <family val="2"/>
    </font>
    <font>
      <sz val="11"/>
      <color theme="1"/>
      <name val="Corbel"/>
      <family val="2"/>
    </font>
    <font>
      <b/>
      <sz val="11"/>
      <color theme="1"/>
      <name val="Corbel"/>
      <family val="2"/>
    </font>
    <font>
      <b/>
      <sz val="10"/>
      <color theme="1"/>
      <name val="Corbel"/>
      <family val="2"/>
    </font>
    <font>
      <b/>
      <sz val="10"/>
      <color rgb="FF404040"/>
      <name val="Corbel"/>
      <family val="2"/>
    </font>
    <font>
      <b/>
      <sz val="11"/>
      <color theme="0"/>
      <name val="Corbel"/>
      <family val="2"/>
    </font>
    <font>
      <sz val="10"/>
      <color theme="1"/>
      <name val="Corbel"/>
      <family val="2"/>
    </font>
    <font>
      <b/>
      <sz val="10"/>
      <color theme="0"/>
      <name val="Corbel"/>
      <family val="2"/>
    </font>
    <font>
      <sz val="12"/>
      <color theme="1"/>
      <name val="Corbel"/>
      <family val="2"/>
    </font>
    <font>
      <b/>
      <i/>
      <u/>
      <sz val="12"/>
      <color theme="1"/>
      <name val="Corbel"/>
      <family val="2"/>
    </font>
    <font>
      <b/>
      <i/>
      <sz val="14"/>
      <color theme="1"/>
      <name val="Corbel"/>
      <family val="2"/>
    </font>
    <font>
      <b/>
      <sz val="9"/>
      <color theme="1"/>
      <name val="Corbel"/>
      <family val="2"/>
    </font>
    <font>
      <b/>
      <sz val="14"/>
      <color theme="0"/>
      <name val="Corbel"/>
      <family val="2"/>
    </font>
    <font>
      <sz val="8"/>
      <name val="Calibri"/>
      <family val="2"/>
      <scheme val="minor"/>
    </font>
    <font>
      <b/>
      <sz val="12"/>
      <color theme="0"/>
      <name val="Corbel"/>
      <family val="2"/>
    </font>
    <font>
      <sz val="12"/>
      <color theme="1"/>
      <name val="Berlin Sans FB Demi"/>
      <family val="2"/>
    </font>
    <font>
      <b/>
      <i/>
      <u/>
      <sz val="14"/>
      <color theme="1"/>
      <name val="Corbel"/>
      <family val="2"/>
    </font>
    <font>
      <b/>
      <sz val="9"/>
      <color theme="2" tint="-0.499984740745262"/>
      <name val="Calibri"/>
      <family val="2"/>
      <scheme val="minor"/>
    </font>
    <font>
      <b/>
      <sz val="8"/>
      <color theme="2" tint="-0.499984740745262"/>
      <name val="Calibri"/>
      <family val="2"/>
      <scheme val="minor"/>
    </font>
    <font>
      <b/>
      <sz val="11"/>
      <color theme="0"/>
      <name val="Myriad Pro"/>
    </font>
    <font>
      <b/>
      <sz val="12"/>
      <color theme="1"/>
      <name val="Corbel"/>
      <family val="2"/>
    </font>
    <font>
      <sz val="14"/>
      <color theme="1"/>
      <name val="Corbel"/>
      <family val="2"/>
    </font>
    <font>
      <i/>
      <sz val="11"/>
      <color theme="0"/>
      <name val="Corbel"/>
      <family val="2"/>
    </font>
    <font>
      <b/>
      <sz val="14"/>
      <color theme="1"/>
      <name val="Corbel"/>
      <family val="2"/>
    </font>
    <font>
      <b/>
      <sz val="12"/>
      <color rgb="FF000000"/>
      <name val="Corbel"/>
      <family val="2"/>
    </font>
    <font>
      <b/>
      <sz val="14"/>
      <color rgb="FF00B0F0"/>
      <name val="Arial"/>
      <family val="2"/>
    </font>
    <font>
      <b/>
      <sz val="10"/>
      <color rgb="FF00B0F0"/>
      <name val="Corbel"/>
      <family val="2"/>
    </font>
    <font>
      <sz val="9"/>
      <color theme="1"/>
      <name val="Corbel"/>
      <family val="2"/>
    </font>
    <font>
      <b/>
      <sz val="12"/>
      <color rgb="FFFF0000"/>
      <name val="Corbel"/>
      <family val="2"/>
    </font>
    <font>
      <sz val="9"/>
      <color theme="2" tint="-0.499984740745262"/>
      <name val="Maiandra GD"/>
      <family val="2"/>
    </font>
    <font>
      <b/>
      <sz val="11"/>
      <color theme="1" tint="0.499984740745262"/>
      <name val="Corbel"/>
      <family val="2"/>
    </font>
    <font>
      <b/>
      <sz val="10"/>
      <color theme="1" tint="0.499984740745262"/>
      <name val="Corbel"/>
      <family val="2"/>
    </font>
    <font>
      <b/>
      <sz val="12"/>
      <color rgb="FF00B0F0"/>
      <name val="Corbel"/>
      <family val="2"/>
    </font>
    <font>
      <b/>
      <sz val="11"/>
      <color theme="2" tint="-0.499984740745262"/>
      <name val="Corbel"/>
      <family val="2"/>
    </font>
    <font>
      <b/>
      <sz val="10"/>
      <color theme="2" tint="-0.499984740745262"/>
      <name val="Corbel"/>
      <family val="2"/>
    </font>
    <font>
      <sz val="10"/>
      <color theme="2" tint="-0.499984740745262"/>
      <name val="Corbel"/>
      <family val="2"/>
    </font>
    <font>
      <sz val="9"/>
      <color theme="2" tint="-0.499984740745262"/>
      <name val="Calibri"/>
      <family val="2"/>
      <scheme val="minor"/>
    </font>
    <font>
      <b/>
      <sz val="11"/>
      <color theme="1" tint="0.34998626667073579"/>
      <name val="Corbel"/>
      <family val="2"/>
    </font>
    <font>
      <b/>
      <sz val="10"/>
      <color theme="1" tint="0.34998626667073579"/>
      <name val="Corbel"/>
      <family val="2"/>
    </font>
    <font>
      <sz val="10"/>
      <color theme="1" tint="0.34998626667073579"/>
      <name val="Corbel"/>
      <family val="2"/>
    </font>
    <font>
      <b/>
      <sz val="11"/>
      <color theme="2" tint="-0.249977111117893"/>
      <name val="Corbel"/>
      <family val="2"/>
    </font>
    <font>
      <b/>
      <sz val="10"/>
      <color theme="2" tint="-0.249977111117893"/>
      <name val="Corbel"/>
      <family val="2"/>
    </font>
    <font>
      <sz val="10"/>
      <color theme="2" tint="-0.249977111117893"/>
      <name val="Corbel"/>
      <family val="2"/>
    </font>
    <font>
      <b/>
      <sz val="11"/>
      <color rgb="FF00B0F0"/>
      <name val="Corbel"/>
      <family val="2"/>
    </font>
    <font>
      <sz val="10"/>
      <color rgb="FF00B0F0"/>
      <name val="Corbel"/>
      <family val="2"/>
    </font>
    <font>
      <b/>
      <sz val="11"/>
      <color theme="0" tint="-0.499984740745262"/>
      <name val="Corbel"/>
      <family val="2"/>
    </font>
    <font>
      <b/>
      <sz val="10"/>
      <color theme="0" tint="-0.499984740745262"/>
      <name val="Corbel"/>
      <family val="2"/>
    </font>
    <font>
      <sz val="10"/>
      <color theme="0" tint="-0.499984740745262"/>
      <name val="Corbel"/>
      <family val="2"/>
    </font>
    <font>
      <sz val="10"/>
      <color theme="2" tint="-0.499984740745262"/>
      <name val="Maiandra GD"/>
      <family val="2"/>
    </font>
    <font>
      <sz val="18"/>
      <color rgb="FF00B0F0"/>
      <name val="Corbel"/>
      <family val="2"/>
    </font>
    <font>
      <sz val="18"/>
      <color theme="1"/>
      <name val="Corbel"/>
      <family val="2"/>
    </font>
    <font>
      <sz val="10"/>
      <color indexed="8"/>
      <name val="Corbel"/>
      <family val="2"/>
    </font>
    <font>
      <sz val="9"/>
      <color indexed="8"/>
      <name val="Corbel"/>
      <family val="2"/>
    </font>
    <font>
      <sz val="8"/>
      <color theme="1"/>
      <name val="Corbel"/>
      <family val="2"/>
    </font>
    <font>
      <sz val="10"/>
      <color theme="1"/>
      <name val="Maiandra GD"/>
      <family val="2"/>
    </font>
    <font>
      <b/>
      <i/>
      <u/>
      <sz val="10"/>
      <color theme="1"/>
      <name val="Maiandra GD"/>
      <family val="2"/>
    </font>
    <font>
      <b/>
      <sz val="10"/>
      <color theme="1"/>
      <name val="Maiandra GD"/>
      <family val="2"/>
    </font>
    <font>
      <b/>
      <i/>
      <sz val="10"/>
      <color theme="1"/>
      <name val="Maiandra GD"/>
      <family val="2"/>
    </font>
    <font>
      <sz val="11"/>
      <color theme="0" tint="-0.499984740745262"/>
      <name val="Corbel"/>
      <family val="2"/>
    </font>
    <font>
      <sz val="9"/>
      <color theme="2" tint="-0.499984740745262"/>
      <name val="Corbel"/>
      <family val="2"/>
    </font>
    <font>
      <b/>
      <u/>
      <sz val="11"/>
      <color theme="1"/>
      <name val="Maiandra GD"/>
      <family val="2"/>
    </font>
    <font>
      <b/>
      <u/>
      <sz val="12"/>
      <color theme="1"/>
      <name val="Maiandra GD"/>
      <family val="2"/>
    </font>
    <font>
      <sz val="12"/>
      <color theme="1"/>
      <name val="Maiandra GD"/>
      <family val="2"/>
    </font>
    <font>
      <sz val="9"/>
      <color theme="1"/>
      <name val="Maiandra GD"/>
      <family val="2"/>
    </font>
    <font>
      <sz val="9"/>
      <color rgb="FF000000"/>
      <name val="Corbel"/>
      <family val="2"/>
    </font>
    <font>
      <b/>
      <sz val="11"/>
      <color rgb="FFFF0000"/>
      <name val="Corbel"/>
      <family val="2"/>
    </font>
    <font>
      <b/>
      <sz val="10"/>
      <color rgb="FFFF0000"/>
      <name val="Corbel"/>
      <family val="2"/>
    </font>
    <font>
      <sz val="8"/>
      <color indexed="8"/>
      <name val="Corbel"/>
      <family val="2"/>
    </font>
    <font>
      <sz val="12"/>
      <color rgb="FFFF0000"/>
      <name val="Corbel"/>
      <family val="2"/>
    </font>
    <font>
      <sz val="12"/>
      <color rgb="FF00B0F0"/>
      <name val="Corbel"/>
      <family val="2"/>
    </font>
    <font>
      <sz val="10"/>
      <color theme="1"/>
      <name val="Berlin Sans FB Demi"/>
      <family val="2"/>
    </font>
    <font>
      <sz val="8"/>
      <color theme="1"/>
      <name val="Berlin Sans FB Demi"/>
      <family val="2"/>
    </font>
    <font>
      <sz val="11"/>
      <color rgb="FF00B0F0"/>
      <name val="Corbel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6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indexed="64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indexed="64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indexed="64"/>
      </right>
      <top/>
      <bottom style="thin">
        <color rgb="FF00B0F0"/>
      </bottom>
      <diagonal/>
    </border>
    <border>
      <left style="thin">
        <color rgb="FF00B0F0"/>
      </left>
      <right style="thin">
        <color indexed="64"/>
      </right>
      <top/>
      <bottom/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indexed="64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B0F0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 style="thin">
        <color indexed="64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indexed="64"/>
      </top>
      <bottom style="thin">
        <color indexed="64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indexed="64"/>
      </bottom>
      <diagonal/>
    </border>
    <border>
      <left/>
      <right style="thin">
        <color rgb="FF00B0F0"/>
      </right>
      <top style="thin">
        <color indexed="64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/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indexed="64"/>
      </top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rgb="FF00B0F0"/>
      </right>
      <top/>
      <bottom/>
      <diagonal/>
    </border>
    <border>
      <left/>
      <right/>
      <top style="thin">
        <color rgb="FF00B0F0"/>
      </top>
      <bottom/>
      <diagonal/>
    </border>
    <border>
      <left style="thin">
        <color rgb="FF00B0F0"/>
      </left>
      <right/>
      <top style="thin">
        <color rgb="FF00B0F0"/>
      </top>
      <bottom style="thin">
        <color theme="0"/>
      </bottom>
      <diagonal/>
    </border>
    <border>
      <left/>
      <right/>
      <top style="thin">
        <color rgb="FF00B0F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rgb="FF00B0F0"/>
      </right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rgb="FF00B0F0"/>
      </top>
      <bottom style="thin">
        <color theme="0"/>
      </bottom>
      <diagonal/>
    </border>
    <border>
      <left/>
      <right style="thin">
        <color rgb="FF00B0F0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B0F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00B0F0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B0F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B0F0"/>
      </bottom>
      <diagonal/>
    </border>
    <border>
      <left style="thin">
        <color theme="0"/>
      </left>
      <right style="thin">
        <color rgb="FF00B0F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rgb="FF00B0F0"/>
      </right>
      <top style="thin">
        <color indexed="64"/>
      </top>
      <bottom style="thin">
        <color rgb="FF00B0F0"/>
      </bottom>
      <diagonal/>
    </border>
    <border>
      <left style="thin">
        <color theme="0"/>
      </left>
      <right style="thin">
        <color rgb="FF00B0F0"/>
      </right>
      <top/>
      <bottom style="thin">
        <color indexed="64"/>
      </bottom>
      <diagonal/>
    </border>
  </borders>
  <cellStyleXfs count="1">
    <xf numFmtId="0" fontId="0" fillId="0" borderId="0"/>
  </cellStyleXfs>
  <cellXfs count="477">
    <xf numFmtId="0" fontId="0" fillId="0" borderId="0" xfId="0"/>
    <xf numFmtId="0" fontId="14" fillId="2" borderId="0" xfId="0" applyFont="1" applyFill="1" applyAlignment="1" applyProtection="1">
      <alignment horizontal="left"/>
      <protection locked="0"/>
    </xf>
    <xf numFmtId="0" fontId="18" fillId="16" borderId="8" xfId="0" applyFont="1" applyFill="1" applyBorder="1" applyAlignment="1" applyProtection="1">
      <alignment horizontal="center"/>
      <protection locked="0"/>
    </xf>
    <xf numFmtId="0" fontId="18" fillId="13" borderId="8" xfId="0" applyFont="1" applyFill="1" applyBorder="1" applyAlignment="1" applyProtection="1">
      <alignment horizontal="left"/>
      <protection locked="0"/>
    </xf>
    <xf numFmtId="2" fontId="14" fillId="0" borderId="8" xfId="0" applyNumberFormat="1" applyFont="1" applyBorder="1" applyAlignment="1">
      <alignment horizontal="center" vertical="center"/>
    </xf>
    <xf numFmtId="0" fontId="0" fillId="0" borderId="0" xfId="0" applyProtection="1">
      <protection locked="0"/>
    </xf>
    <xf numFmtId="0" fontId="16" fillId="0" borderId="0" xfId="0" applyFont="1" applyAlignment="1" applyProtection="1">
      <alignment vertical="center" wrapText="1"/>
      <protection locked="0"/>
    </xf>
    <xf numFmtId="0" fontId="13" fillId="0" borderId="8" xfId="0" applyFont="1" applyBorder="1" applyProtection="1">
      <protection locked="0"/>
    </xf>
    <xf numFmtId="0" fontId="15" fillId="0" borderId="20" xfId="0" applyFont="1" applyBorder="1" applyProtection="1">
      <protection locked="0"/>
    </xf>
    <xf numFmtId="0" fontId="18" fillId="0" borderId="8" xfId="0" applyFont="1" applyBorder="1" applyAlignment="1" applyProtection="1">
      <alignment horizontal="center" vertical="center" shrinkToFit="1"/>
      <protection locked="0"/>
    </xf>
    <xf numFmtId="0" fontId="18" fillId="0" borderId="8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/>
      <protection locked="0"/>
    </xf>
    <xf numFmtId="0" fontId="0" fillId="2" borderId="0" xfId="0" applyFill="1" applyAlignment="1" applyProtection="1">
      <alignment vertical="center" shrinkToFit="1"/>
      <protection locked="0"/>
    </xf>
    <xf numFmtId="0" fontId="0" fillId="2" borderId="0" xfId="0" applyFill="1" applyProtection="1"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0" fillId="2" borderId="0" xfId="0" applyFill="1" applyAlignment="1" applyProtection="1">
      <alignment horizontal="left"/>
      <protection locked="0"/>
    </xf>
    <xf numFmtId="0" fontId="4" fillId="2" borderId="0" xfId="0" applyFont="1" applyFill="1" applyAlignment="1" applyProtection="1">
      <alignment horizontal="left"/>
      <protection locked="0"/>
    </xf>
    <xf numFmtId="0" fontId="14" fillId="0" borderId="0" xfId="0" applyFont="1" applyProtection="1">
      <protection locked="0"/>
    </xf>
    <xf numFmtId="0" fontId="15" fillId="0" borderId="8" xfId="0" applyFont="1" applyBorder="1" applyAlignment="1">
      <alignment horizontal="center" vertical="center" shrinkToFit="1"/>
    </xf>
    <xf numFmtId="0" fontId="15" fillId="2" borderId="16" xfId="0" applyFont="1" applyFill="1" applyBorder="1" applyAlignment="1">
      <alignment horizontal="center"/>
    </xf>
    <xf numFmtId="0" fontId="14" fillId="2" borderId="0" xfId="0" applyFont="1" applyFill="1" applyAlignment="1">
      <alignment horizontal="left"/>
    </xf>
    <xf numFmtId="0" fontId="14" fillId="2" borderId="0" xfId="0" applyFont="1" applyFill="1"/>
    <xf numFmtId="0" fontId="2" fillId="2" borderId="0" xfId="0" applyFont="1" applyFill="1" applyProtection="1"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Alignment="1" applyProtection="1">
      <alignment horizontal="center" vertical="center" textRotation="90"/>
      <protection locked="0"/>
    </xf>
    <xf numFmtId="0" fontId="2" fillId="12" borderId="1" xfId="0" applyFont="1" applyFill="1" applyBorder="1" applyAlignment="1" applyProtection="1">
      <alignment horizontal="center" vertical="center" textRotation="90"/>
      <protection locked="0"/>
    </xf>
    <xf numFmtId="0" fontId="2" fillId="0" borderId="3" xfId="0" applyFont="1" applyBorder="1" applyAlignment="1" applyProtection="1">
      <alignment horizontal="center" vertical="center" textRotation="90"/>
      <protection locked="0"/>
    </xf>
    <xf numFmtId="0" fontId="7" fillId="13" borderId="4" xfId="0" applyFont="1" applyFill="1" applyBorder="1" applyProtection="1">
      <protection locked="0"/>
    </xf>
    <xf numFmtId="0" fontId="2" fillId="0" borderId="19" xfId="0" applyFont="1" applyBorder="1" applyProtection="1">
      <protection locked="0"/>
    </xf>
    <xf numFmtId="0" fontId="10" fillId="2" borderId="1" xfId="0" applyFont="1" applyFill="1" applyBorder="1" applyAlignment="1" applyProtection="1">
      <alignment vertical="center"/>
      <protection locked="0"/>
    </xf>
    <xf numFmtId="0" fontId="11" fillId="2" borderId="1" xfId="0" applyFont="1" applyFill="1" applyBorder="1" applyAlignment="1" applyProtection="1">
      <alignment vertical="center"/>
      <protection locked="0"/>
    </xf>
    <xf numFmtId="0" fontId="8" fillId="0" borderId="0" xfId="0" applyFont="1" applyProtection="1"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2" fillId="2" borderId="0" xfId="0" applyFont="1" applyFill="1" applyAlignment="1" applyProtection="1">
      <alignment horizontal="center" vertical="center" wrapText="1"/>
      <protection locked="0"/>
    </xf>
    <xf numFmtId="0" fontId="22" fillId="0" borderId="0" xfId="0" applyFont="1" applyProtection="1">
      <protection locked="0"/>
    </xf>
    <xf numFmtId="0" fontId="21" fillId="0" borderId="0" xfId="0" applyFont="1" applyAlignment="1" applyProtection="1">
      <alignment vertical="center"/>
      <protection locked="0"/>
    </xf>
    <xf numFmtId="0" fontId="12" fillId="2" borderId="0" xfId="0" applyFont="1" applyFill="1" applyAlignment="1" applyProtection="1">
      <alignment vertical="center" wrapText="1"/>
      <protection locked="0"/>
    </xf>
    <xf numFmtId="0" fontId="28" fillId="0" borderId="0" xfId="0" applyFont="1" applyProtection="1">
      <protection locked="0"/>
    </xf>
    <xf numFmtId="0" fontId="28" fillId="0" borderId="0" xfId="0" applyFont="1" applyAlignment="1" applyProtection="1">
      <alignment vertical="center"/>
      <protection locked="0"/>
    </xf>
    <xf numFmtId="0" fontId="14" fillId="0" borderId="0" xfId="0" applyFont="1" applyAlignment="1" applyProtection="1">
      <alignment horizontal="center"/>
      <protection locked="0"/>
    </xf>
    <xf numFmtId="11" fontId="0" fillId="2" borderId="0" xfId="0" applyNumberFormat="1" applyFill="1" applyProtection="1">
      <protection locked="0"/>
    </xf>
    <xf numFmtId="49" fontId="13" fillId="0" borderId="1" xfId="0" applyNumberFormat="1" applyFont="1" applyBorder="1" applyProtection="1">
      <protection locked="0"/>
    </xf>
    <xf numFmtId="49" fontId="32" fillId="0" borderId="1" xfId="0" applyNumberFormat="1" applyFont="1" applyBorder="1" applyProtection="1">
      <protection locked="0"/>
    </xf>
    <xf numFmtId="49" fontId="32" fillId="2" borderId="0" xfId="0" applyNumberFormat="1" applyFont="1" applyFill="1" applyProtection="1">
      <protection locked="0"/>
    </xf>
    <xf numFmtId="49" fontId="33" fillId="2" borderId="0" xfId="0" applyNumberFormat="1" applyFont="1" applyFill="1" applyProtection="1">
      <protection locked="0"/>
    </xf>
    <xf numFmtId="0" fontId="33" fillId="2" borderId="0" xfId="0" applyFont="1" applyFill="1" applyProtection="1">
      <protection locked="0"/>
    </xf>
    <xf numFmtId="49" fontId="13" fillId="2" borderId="0" xfId="0" applyNumberFormat="1" applyFont="1" applyFill="1" applyProtection="1">
      <protection locked="0"/>
    </xf>
    <xf numFmtId="0" fontId="13" fillId="2" borderId="0" xfId="0" applyFont="1" applyFill="1" applyProtection="1">
      <protection locked="0"/>
    </xf>
    <xf numFmtId="49" fontId="34" fillId="13" borderId="3" xfId="0" applyNumberFormat="1" applyFont="1" applyFill="1" applyBorder="1" applyProtection="1">
      <protection locked="0"/>
    </xf>
    <xf numFmtId="49" fontId="34" fillId="13" borderId="4" xfId="0" applyNumberFormat="1" applyFont="1" applyFill="1" applyBorder="1" applyProtection="1">
      <protection locked="0"/>
    </xf>
    <xf numFmtId="0" fontId="34" fillId="13" borderId="0" xfId="0" applyFont="1" applyFill="1" applyAlignment="1" applyProtection="1">
      <alignment horizontal="center"/>
      <protection locked="0"/>
    </xf>
    <xf numFmtId="0" fontId="13" fillId="0" borderId="0" xfId="0" applyFont="1" applyProtection="1">
      <protection locked="0"/>
    </xf>
    <xf numFmtId="49" fontId="13" fillId="0" borderId="0" xfId="0" applyNumberFormat="1" applyFont="1" applyProtection="1">
      <protection locked="0"/>
    </xf>
    <xf numFmtId="49" fontId="35" fillId="0" borderId="1" xfId="0" applyNumberFormat="1" applyFont="1" applyBorder="1" applyProtection="1">
      <protection locked="0"/>
    </xf>
    <xf numFmtId="0" fontId="14" fillId="0" borderId="1" xfId="0" applyFont="1" applyBorder="1" applyProtection="1">
      <protection locked="0"/>
    </xf>
    <xf numFmtId="49" fontId="35" fillId="0" borderId="1" xfId="0" applyNumberFormat="1" applyFont="1" applyBorder="1" applyAlignment="1" applyProtection="1">
      <alignment horizontal="center"/>
      <protection locked="0"/>
    </xf>
    <xf numFmtId="49" fontId="36" fillId="0" borderId="1" xfId="0" applyNumberFormat="1" applyFont="1" applyBorder="1" applyAlignment="1" applyProtection="1">
      <alignment vertical="center"/>
      <protection locked="0"/>
    </xf>
    <xf numFmtId="0" fontId="15" fillId="0" borderId="8" xfId="0" applyFont="1" applyBorder="1" applyAlignment="1">
      <alignment horizontal="center" vertical="center"/>
    </xf>
    <xf numFmtId="0" fontId="13" fillId="2" borderId="0" xfId="0" applyFont="1" applyFill="1" applyAlignment="1" applyProtection="1">
      <alignment horizontal="center"/>
      <protection locked="0"/>
    </xf>
    <xf numFmtId="0" fontId="18" fillId="16" borderId="8" xfId="0" applyFont="1" applyFill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/>
      <protection hidden="1"/>
    </xf>
    <xf numFmtId="2" fontId="9" fillId="12" borderId="1" xfId="0" applyNumberFormat="1" applyFont="1" applyFill="1" applyBorder="1" applyAlignment="1" applyProtection="1">
      <alignment horizontal="center"/>
      <protection hidden="1"/>
    </xf>
    <xf numFmtId="2" fontId="8" fillId="0" borderId="1" xfId="0" applyNumberFormat="1" applyFont="1" applyBorder="1" applyAlignment="1" applyProtection="1">
      <alignment horizontal="center"/>
      <protection hidden="1"/>
    </xf>
    <xf numFmtId="2" fontId="9" fillId="21" borderId="1" xfId="0" applyNumberFormat="1" applyFont="1" applyFill="1" applyBorder="1" applyAlignment="1" applyProtection="1">
      <alignment horizontal="center"/>
      <protection hidden="1"/>
    </xf>
    <xf numFmtId="2" fontId="8" fillId="0" borderId="2" xfId="0" applyNumberFormat="1" applyFont="1" applyBorder="1" applyAlignment="1" applyProtection="1">
      <alignment horizontal="center"/>
      <protection hidden="1"/>
    </xf>
    <xf numFmtId="0" fontId="5" fillId="12" borderId="1" xfId="0" applyFont="1" applyFill="1" applyBorder="1" applyAlignment="1" applyProtection="1">
      <alignment horizontal="center"/>
      <protection hidden="1"/>
    </xf>
    <xf numFmtId="0" fontId="5" fillId="2" borderId="3" xfId="0" applyFont="1" applyFill="1" applyBorder="1" applyAlignment="1" applyProtection="1">
      <alignment horizontal="center"/>
      <protection hidden="1"/>
    </xf>
    <xf numFmtId="2" fontId="10" fillId="2" borderId="1" xfId="0" applyNumberFormat="1" applyFont="1" applyFill="1" applyBorder="1" applyAlignment="1" applyProtection="1">
      <alignment horizontal="center" vertical="center"/>
      <protection hidden="1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0" fontId="14" fillId="2" borderId="0" xfId="0" applyFont="1" applyFill="1" applyAlignment="1" applyProtection="1">
      <alignment horizontal="left"/>
      <protection hidden="1"/>
    </xf>
    <xf numFmtId="0" fontId="14" fillId="2" borderId="0" xfId="0" applyFont="1" applyFill="1" applyProtection="1">
      <protection hidden="1"/>
    </xf>
    <xf numFmtId="2" fontId="13" fillId="0" borderId="1" xfId="0" applyNumberFormat="1" applyFont="1" applyBorder="1" applyAlignment="1" applyProtection="1">
      <alignment horizontal="center"/>
      <protection locked="0"/>
    </xf>
    <xf numFmtId="0" fontId="13" fillId="0" borderId="1" xfId="0" applyFont="1" applyBorder="1" applyAlignment="1" applyProtection="1">
      <alignment horizontal="center" vertical="center" textRotation="90"/>
      <protection locked="0"/>
    </xf>
    <xf numFmtId="0" fontId="13" fillId="12" borderId="1" xfId="0" applyFont="1" applyFill="1" applyBorder="1" applyAlignment="1" applyProtection="1">
      <alignment horizontal="center" vertical="center" textRotation="90"/>
      <protection locked="0"/>
    </xf>
    <xf numFmtId="0" fontId="34" fillId="13" borderId="4" xfId="0" applyFont="1" applyFill="1" applyBorder="1" applyProtection="1">
      <protection locked="0"/>
    </xf>
    <xf numFmtId="2" fontId="23" fillId="12" borderId="1" xfId="0" applyNumberFormat="1" applyFont="1" applyFill="1" applyBorder="1" applyAlignment="1" applyProtection="1">
      <alignment horizontal="center"/>
      <protection hidden="1"/>
    </xf>
    <xf numFmtId="0" fontId="39" fillId="0" borderId="1" xfId="0" applyFont="1" applyBorder="1" applyProtection="1">
      <protection hidden="1"/>
    </xf>
    <xf numFmtId="0" fontId="39" fillId="0" borderId="1" xfId="0" applyFont="1" applyBorder="1" applyAlignment="1" applyProtection="1">
      <alignment horizontal="center"/>
      <protection locked="0"/>
    </xf>
    <xf numFmtId="2" fontId="13" fillId="0" borderId="1" xfId="0" applyNumberFormat="1" applyFont="1" applyBorder="1" applyProtection="1">
      <protection locked="0"/>
    </xf>
    <xf numFmtId="0" fontId="18" fillId="2" borderId="1" xfId="0" applyFont="1" applyFill="1" applyBorder="1" applyProtection="1">
      <protection locked="0"/>
    </xf>
    <xf numFmtId="2" fontId="15" fillId="2" borderId="1" xfId="0" applyNumberFormat="1" applyFont="1" applyFill="1" applyBorder="1" applyAlignment="1" applyProtection="1">
      <alignment horizontal="center" vertical="center"/>
      <protection hidden="1"/>
    </xf>
    <xf numFmtId="0" fontId="15" fillId="2" borderId="1" xfId="0" applyFont="1" applyFill="1" applyBorder="1" applyAlignment="1" applyProtection="1">
      <alignment vertical="center"/>
      <protection locked="0"/>
    </xf>
    <xf numFmtId="0" fontId="18" fillId="2" borderId="1" xfId="0" applyFont="1" applyFill="1" applyBorder="1" applyAlignment="1" applyProtection="1">
      <alignment vertical="center"/>
      <protection locked="0"/>
    </xf>
    <xf numFmtId="0" fontId="39" fillId="0" borderId="0" xfId="0" applyFont="1" applyProtection="1">
      <protection locked="0"/>
    </xf>
    <xf numFmtId="2" fontId="13" fillId="0" borderId="1" xfId="0" applyNumberFormat="1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/>
      <protection locked="0"/>
    </xf>
    <xf numFmtId="0" fontId="19" fillId="13" borderId="39" xfId="0" applyFont="1" applyFill="1" applyBorder="1" applyAlignment="1" applyProtection="1">
      <alignment horizontal="center" vertical="center"/>
      <protection locked="0"/>
    </xf>
    <xf numFmtId="0" fontId="13" fillId="13" borderId="20" xfId="0" applyFont="1" applyFill="1" applyBorder="1" applyProtection="1">
      <protection locked="0"/>
    </xf>
    <xf numFmtId="0" fontId="19" fillId="13" borderId="40" xfId="0" applyFont="1" applyFill="1" applyBorder="1" applyAlignment="1" applyProtection="1">
      <alignment horizontal="center" vertical="center"/>
      <protection locked="0"/>
    </xf>
    <xf numFmtId="2" fontId="40" fillId="2" borderId="13" xfId="0" applyNumberFormat="1" applyFont="1" applyFill="1" applyBorder="1" applyAlignment="1">
      <alignment horizontal="center" vertical="center" wrapText="1"/>
    </xf>
    <xf numFmtId="0" fontId="13" fillId="13" borderId="17" xfId="0" applyFont="1" applyFill="1" applyBorder="1" applyProtection="1">
      <protection locked="0"/>
    </xf>
    <xf numFmtId="2" fontId="42" fillId="0" borderId="8" xfId="0" applyNumberFormat="1" applyFont="1" applyBorder="1" applyAlignment="1">
      <alignment horizontal="center" vertical="center"/>
    </xf>
    <xf numFmtId="2" fontId="44" fillId="2" borderId="13" xfId="0" applyNumberFormat="1" applyFont="1" applyFill="1" applyBorder="1" applyAlignment="1">
      <alignment horizontal="center" vertical="center" wrapText="1"/>
    </xf>
    <xf numFmtId="2" fontId="45" fillId="0" borderId="8" xfId="0" applyNumberFormat="1" applyFont="1" applyBorder="1" applyAlignment="1">
      <alignment horizontal="center" vertical="center"/>
    </xf>
    <xf numFmtId="0" fontId="47" fillId="13" borderId="8" xfId="0" applyFont="1" applyFill="1" applyBorder="1" applyAlignment="1" applyProtection="1">
      <alignment horizontal="left"/>
      <protection locked="0"/>
    </xf>
    <xf numFmtId="0" fontId="46" fillId="0" borderId="8" xfId="0" applyFont="1" applyBorder="1" applyAlignment="1">
      <alignment horizontal="center" vertical="center"/>
    </xf>
    <xf numFmtId="2" fontId="49" fillId="0" borderId="8" xfId="0" applyNumberFormat="1" applyFont="1" applyBorder="1" applyAlignment="1">
      <alignment horizontal="center" vertical="center"/>
    </xf>
    <xf numFmtId="0" fontId="51" fillId="13" borderId="8" xfId="0" applyFont="1" applyFill="1" applyBorder="1" applyAlignment="1" applyProtection="1">
      <alignment horizontal="left"/>
      <protection locked="0"/>
    </xf>
    <xf numFmtId="2" fontId="52" fillId="0" borderId="8" xfId="0" applyNumberFormat="1" applyFont="1" applyBorder="1" applyAlignment="1">
      <alignment horizontal="center" vertical="center"/>
    </xf>
    <xf numFmtId="0" fontId="54" fillId="13" borderId="8" xfId="0" applyFont="1" applyFill="1" applyBorder="1" applyAlignment="1" applyProtection="1">
      <alignment horizontal="left"/>
      <protection locked="0"/>
    </xf>
    <xf numFmtId="0" fontId="53" fillId="0" borderId="8" xfId="0" applyFont="1" applyBorder="1" applyAlignment="1">
      <alignment horizontal="center" vertical="center"/>
    </xf>
    <xf numFmtId="0" fontId="53" fillId="2" borderId="16" xfId="0" applyFont="1" applyFill="1" applyBorder="1" applyAlignment="1">
      <alignment horizontal="center"/>
    </xf>
    <xf numFmtId="2" fontId="55" fillId="0" borderId="8" xfId="0" applyNumberFormat="1" applyFont="1" applyBorder="1" applyAlignment="1">
      <alignment horizontal="center" vertical="center"/>
    </xf>
    <xf numFmtId="0" fontId="56" fillId="13" borderId="8" xfId="0" applyFont="1" applyFill="1" applyBorder="1" applyAlignment="1" applyProtection="1">
      <alignment horizontal="left"/>
      <protection locked="0"/>
    </xf>
    <xf numFmtId="0" fontId="38" fillId="22" borderId="16" xfId="0" applyFont="1" applyFill="1" applyBorder="1" applyAlignment="1">
      <alignment horizontal="center" vertical="center"/>
    </xf>
    <xf numFmtId="0" fontId="55" fillId="0" borderId="17" xfId="0" applyFont="1" applyBorder="1" applyAlignment="1">
      <alignment horizontal="center"/>
    </xf>
    <xf numFmtId="0" fontId="55" fillId="22" borderId="8" xfId="0" applyFont="1" applyFill="1" applyBorder="1" applyAlignment="1">
      <alignment horizontal="center" vertical="center"/>
    </xf>
    <xf numFmtId="2" fontId="57" fillId="0" borderId="8" xfId="0" applyNumberFormat="1" applyFont="1" applyBorder="1" applyAlignment="1">
      <alignment horizontal="center" vertical="center"/>
    </xf>
    <xf numFmtId="0" fontId="59" fillId="13" borderId="8" xfId="0" applyFont="1" applyFill="1" applyBorder="1" applyAlignment="1" applyProtection="1">
      <alignment horizontal="left"/>
      <protection locked="0"/>
    </xf>
    <xf numFmtId="0" fontId="58" fillId="2" borderId="16" xfId="0" applyFont="1" applyFill="1" applyBorder="1" applyAlignment="1">
      <alignment horizontal="center"/>
    </xf>
    <xf numFmtId="0" fontId="55" fillId="0" borderId="17" xfId="0" applyFont="1" applyBorder="1" applyAlignment="1">
      <alignment horizontal="center" vertical="center"/>
    </xf>
    <xf numFmtId="0" fontId="38" fillId="0" borderId="8" xfId="0" applyFont="1" applyBorder="1" applyAlignment="1">
      <alignment horizontal="center" vertical="center"/>
    </xf>
    <xf numFmtId="0" fontId="13" fillId="2" borderId="0" xfId="0" applyFont="1" applyFill="1" applyAlignment="1" applyProtection="1">
      <alignment horizontal="left"/>
      <protection locked="0"/>
    </xf>
    <xf numFmtId="0" fontId="0" fillId="0" borderId="41" xfId="0" applyBorder="1" applyProtection="1">
      <protection locked="0"/>
    </xf>
    <xf numFmtId="0" fontId="14" fillId="13" borderId="17" xfId="0" applyFont="1" applyFill="1" applyBorder="1" applyAlignment="1">
      <alignment horizontal="center" vertical="center"/>
    </xf>
    <xf numFmtId="0" fontId="14" fillId="13" borderId="8" xfId="0" applyFont="1" applyFill="1" applyBorder="1" applyAlignment="1">
      <alignment horizontal="center" vertical="center"/>
    </xf>
    <xf numFmtId="0" fontId="58" fillId="0" borderId="8" xfId="0" applyFont="1" applyBorder="1" applyAlignment="1">
      <alignment horizontal="center" vertical="center"/>
    </xf>
    <xf numFmtId="0" fontId="18" fillId="0" borderId="20" xfId="0" applyFont="1" applyBorder="1" applyAlignment="1" applyProtection="1">
      <alignment vertical="center"/>
      <protection locked="0"/>
    </xf>
    <xf numFmtId="0" fontId="19" fillId="13" borderId="39" xfId="0" applyFont="1" applyFill="1" applyBorder="1" applyAlignment="1" applyProtection="1">
      <alignment vertical="center"/>
      <protection locked="0"/>
    </xf>
    <xf numFmtId="0" fontId="63" fillId="0" borderId="20" xfId="0" applyFont="1" applyBorder="1" applyAlignment="1" applyProtection="1">
      <alignment vertical="center"/>
      <protection locked="0"/>
    </xf>
    <xf numFmtId="0" fontId="18" fillId="0" borderId="31" xfId="0" applyFont="1" applyBorder="1" applyAlignment="1" applyProtection="1">
      <alignment vertical="center"/>
      <protection locked="0"/>
    </xf>
    <xf numFmtId="0" fontId="63" fillId="0" borderId="28" xfId="0" applyFont="1" applyBorder="1" applyAlignment="1" applyProtection="1">
      <alignment vertical="center"/>
      <protection locked="0"/>
    </xf>
    <xf numFmtId="0" fontId="66" fillId="0" borderId="0" xfId="0" applyFont="1" applyProtection="1">
      <protection locked="0"/>
    </xf>
    <xf numFmtId="0" fontId="66" fillId="2" borderId="0" xfId="0" applyFont="1" applyFill="1" applyAlignment="1" applyProtection="1">
      <alignment horizontal="left"/>
      <protection locked="0"/>
    </xf>
    <xf numFmtId="0" fontId="66" fillId="2" borderId="0" xfId="0" applyFont="1" applyFill="1" applyProtection="1">
      <protection locked="0"/>
    </xf>
    <xf numFmtId="0" fontId="66" fillId="2" borderId="0" xfId="0" applyFont="1" applyFill="1" applyAlignment="1" applyProtection="1">
      <alignment horizontal="center"/>
      <protection locked="0"/>
    </xf>
    <xf numFmtId="0" fontId="68" fillId="2" borderId="0" xfId="0" applyFont="1" applyFill="1" applyAlignment="1" applyProtection="1">
      <alignment horizontal="left"/>
      <protection locked="0"/>
    </xf>
    <xf numFmtId="0" fontId="69" fillId="0" borderId="0" xfId="0" applyFont="1" applyProtection="1">
      <protection locked="0"/>
    </xf>
    <xf numFmtId="0" fontId="68" fillId="0" borderId="0" xfId="0" applyFont="1" applyProtection="1">
      <protection locked="0"/>
    </xf>
    <xf numFmtId="0" fontId="0" fillId="0" borderId="46" xfId="0" applyBorder="1" applyProtection="1">
      <protection locked="0"/>
    </xf>
    <xf numFmtId="0" fontId="0" fillId="0" borderId="45" xfId="0" applyBorder="1" applyProtection="1">
      <protection locked="0"/>
    </xf>
    <xf numFmtId="0" fontId="0" fillId="0" borderId="47" xfId="0" applyBorder="1" applyProtection="1">
      <protection locked="0"/>
    </xf>
    <xf numFmtId="0" fontId="0" fillId="0" borderId="23" xfId="0" applyBorder="1" applyProtection="1">
      <protection locked="0"/>
    </xf>
    <xf numFmtId="0" fontId="58" fillId="2" borderId="16" xfId="0" applyFont="1" applyFill="1" applyBorder="1" applyAlignment="1">
      <alignment horizontal="center" vertical="center"/>
    </xf>
    <xf numFmtId="0" fontId="46" fillId="2" borderId="16" xfId="0" applyFont="1" applyFill="1" applyBorder="1" applyAlignment="1">
      <alignment horizontal="center" vertical="center"/>
    </xf>
    <xf numFmtId="0" fontId="18" fillId="0" borderId="20" xfId="0" applyFont="1" applyBorder="1" applyProtection="1">
      <protection locked="0"/>
    </xf>
    <xf numFmtId="0" fontId="13" fillId="13" borderId="8" xfId="0" applyFont="1" applyFill="1" applyBorder="1" applyProtection="1">
      <protection locked="0"/>
    </xf>
    <xf numFmtId="49" fontId="74" fillId="0" borderId="3" xfId="0" applyNumberFormat="1" applyFont="1" applyBorder="1" applyProtection="1">
      <protection locked="0"/>
    </xf>
    <xf numFmtId="14" fontId="14" fillId="0" borderId="57" xfId="0" applyNumberFormat="1" applyFont="1" applyBorder="1" applyAlignment="1">
      <alignment horizontal="center" vertical="center" wrapText="1"/>
    </xf>
    <xf numFmtId="49" fontId="32" fillId="0" borderId="57" xfId="0" applyNumberFormat="1" applyFont="1" applyBorder="1" applyAlignment="1" applyProtection="1">
      <alignment horizontal="center" vertical="center"/>
      <protection locked="0"/>
    </xf>
    <xf numFmtId="49" fontId="75" fillId="0" borderId="57" xfId="0" applyNumberFormat="1" applyFont="1" applyBorder="1" applyAlignment="1">
      <alignment horizontal="center" vertical="center" wrapText="1"/>
    </xf>
    <xf numFmtId="0" fontId="74" fillId="0" borderId="3" xfId="0" applyFont="1" applyBorder="1"/>
    <xf numFmtId="49" fontId="74" fillId="0" borderId="3" xfId="0" applyNumberFormat="1" applyFont="1" applyBorder="1" applyAlignment="1" applyProtection="1">
      <alignment horizontal="left"/>
      <protection locked="0"/>
    </xf>
    <xf numFmtId="0" fontId="14" fillId="0" borderId="57" xfId="0" applyFont="1" applyBorder="1" applyAlignment="1">
      <alignment horizontal="center" vertical="center" wrapText="1"/>
    </xf>
    <xf numFmtId="49" fontId="74" fillId="23" borderId="3" xfId="0" applyNumberFormat="1" applyFont="1" applyFill="1" applyBorder="1" applyProtection="1">
      <protection locked="0"/>
    </xf>
    <xf numFmtId="14" fontId="14" fillId="23" borderId="57" xfId="0" applyNumberFormat="1" applyFont="1" applyFill="1" applyBorder="1" applyAlignment="1">
      <alignment horizontal="center" vertical="center" wrapText="1"/>
    </xf>
    <xf numFmtId="49" fontId="32" fillId="23" borderId="57" xfId="0" applyNumberFormat="1" applyFont="1" applyFill="1" applyBorder="1" applyAlignment="1" applyProtection="1">
      <alignment horizontal="center" vertical="center"/>
      <protection locked="0"/>
    </xf>
    <xf numFmtId="2" fontId="75" fillId="23" borderId="57" xfId="0" applyNumberFormat="1" applyFont="1" applyFill="1" applyBorder="1" applyAlignment="1">
      <alignment horizontal="center" vertical="center" wrapText="1"/>
    </xf>
    <xf numFmtId="49" fontId="14" fillId="0" borderId="57" xfId="0" applyNumberFormat="1" applyFont="1" applyBorder="1" applyAlignment="1" applyProtection="1">
      <alignment horizontal="center"/>
      <protection locked="0"/>
    </xf>
    <xf numFmtId="49" fontId="76" fillId="0" borderId="57" xfId="0" applyNumberFormat="1" applyFont="1" applyBorder="1" applyAlignment="1" applyProtection="1">
      <alignment horizontal="center" vertical="center"/>
      <protection locked="0"/>
    </xf>
    <xf numFmtId="49" fontId="14" fillId="0" borderId="57" xfId="0" applyNumberFormat="1" applyFont="1" applyBorder="1" applyAlignment="1" applyProtection="1">
      <alignment horizontal="center" vertical="center"/>
      <protection locked="0"/>
    </xf>
    <xf numFmtId="49" fontId="14" fillId="23" borderId="57" xfId="0" applyNumberFormat="1" applyFont="1" applyFill="1" applyBorder="1" applyAlignment="1" applyProtection="1">
      <alignment horizontal="center"/>
      <protection locked="0"/>
    </xf>
    <xf numFmtId="49" fontId="76" fillId="23" borderId="57" xfId="0" applyNumberFormat="1" applyFont="1" applyFill="1" applyBorder="1" applyAlignment="1" applyProtection="1">
      <alignment horizontal="center" vertical="center"/>
      <protection locked="0"/>
    </xf>
    <xf numFmtId="0" fontId="74" fillId="23" borderId="3" xfId="0" applyFont="1" applyFill="1" applyBorder="1"/>
    <xf numFmtId="0" fontId="50" fillId="0" borderId="8" xfId="0" applyFont="1" applyBorder="1" applyAlignment="1">
      <alignment horizontal="center" vertical="center"/>
    </xf>
    <xf numFmtId="2" fontId="57" fillId="0" borderId="13" xfId="0" applyNumberFormat="1" applyFont="1" applyBorder="1" applyAlignment="1">
      <alignment horizontal="center" vertical="center"/>
    </xf>
    <xf numFmtId="0" fontId="19" fillId="13" borderId="58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right"/>
      <protection locked="0"/>
    </xf>
    <xf numFmtId="2" fontId="55" fillId="2" borderId="13" xfId="0" applyNumberFormat="1" applyFont="1" applyFill="1" applyBorder="1" applyAlignment="1">
      <alignment horizontal="center" vertical="center" wrapText="1"/>
    </xf>
    <xf numFmtId="2" fontId="38" fillId="2" borderId="13" xfId="0" applyNumberFormat="1" applyFont="1" applyFill="1" applyBorder="1" applyAlignment="1">
      <alignment horizontal="center" vertical="center" wrapText="1"/>
    </xf>
    <xf numFmtId="0" fontId="55" fillId="13" borderId="17" xfId="0" applyFont="1" applyFill="1" applyBorder="1" applyAlignment="1">
      <alignment vertical="center"/>
    </xf>
    <xf numFmtId="0" fontId="55" fillId="13" borderId="20" xfId="0" applyFont="1" applyFill="1" applyBorder="1" applyAlignment="1">
      <alignment vertical="center"/>
    </xf>
    <xf numFmtId="0" fontId="55" fillId="0" borderId="16" xfId="0" applyFont="1" applyBorder="1" applyAlignment="1">
      <alignment horizontal="center" vertical="center"/>
    </xf>
    <xf numFmtId="0" fontId="55" fillId="0" borderId="8" xfId="0" applyFont="1" applyBorder="1" applyAlignment="1">
      <alignment horizontal="center" vertical="center"/>
    </xf>
    <xf numFmtId="2" fontId="77" fillId="2" borderId="13" xfId="0" applyNumberFormat="1" applyFont="1" applyFill="1" applyBorder="1" applyAlignment="1">
      <alignment horizontal="center" vertical="center" wrapText="1"/>
    </xf>
    <xf numFmtId="2" fontId="78" fillId="2" borderId="13" xfId="0" applyNumberFormat="1" applyFont="1" applyFill="1" applyBorder="1" applyAlignment="1">
      <alignment horizontal="center" vertical="center" wrapText="1"/>
    </xf>
    <xf numFmtId="0" fontId="18" fillId="13" borderId="17" xfId="0" applyFont="1" applyFill="1" applyBorder="1" applyProtection="1">
      <protection locked="0"/>
    </xf>
    <xf numFmtId="0" fontId="38" fillId="0" borderId="17" xfId="0" applyFont="1" applyBorder="1" applyAlignment="1">
      <alignment horizontal="center" vertical="center"/>
    </xf>
    <xf numFmtId="0" fontId="38" fillId="22" borderId="8" xfId="0" applyFont="1" applyFill="1" applyBorder="1" applyAlignment="1">
      <alignment horizontal="center" vertical="center"/>
    </xf>
    <xf numFmtId="2" fontId="80" fillId="2" borderId="13" xfId="0" applyNumberFormat="1" applyFont="1" applyFill="1" applyBorder="1" applyAlignment="1">
      <alignment horizontal="center" vertical="center" wrapText="1"/>
    </xf>
    <xf numFmtId="2" fontId="81" fillId="2" borderId="13" xfId="0" applyNumberFormat="1" applyFont="1" applyFill="1" applyBorder="1" applyAlignment="1">
      <alignment horizontal="center" vertical="center" wrapText="1"/>
    </xf>
    <xf numFmtId="0" fontId="20" fillId="13" borderId="17" xfId="0" applyFont="1" applyFill="1" applyBorder="1" applyProtection="1">
      <protection locked="0"/>
    </xf>
    <xf numFmtId="0" fontId="81" fillId="0" borderId="17" xfId="0" applyFont="1" applyBorder="1" applyAlignment="1">
      <alignment horizontal="center"/>
    </xf>
    <xf numFmtId="0" fontId="81" fillId="22" borderId="8" xfId="0" applyFont="1" applyFill="1" applyBorder="1" applyAlignment="1">
      <alignment horizontal="center" vertical="center"/>
    </xf>
    <xf numFmtId="49" fontId="20" fillId="24" borderId="1" xfId="0" applyNumberFormat="1" applyFont="1" applyFill="1" applyBorder="1" applyAlignment="1" applyProtection="1">
      <alignment vertical="center"/>
      <protection locked="0"/>
    </xf>
    <xf numFmtId="49" fontId="13" fillId="24" borderId="1" xfId="0" applyNumberFormat="1" applyFont="1" applyFill="1" applyBorder="1" applyAlignment="1" applyProtection="1">
      <alignment vertical="center"/>
      <protection locked="0"/>
    </xf>
    <xf numFmtId="0" fontId="50" fillId="2" borderId="16" xfId="0" applyFont="1" applyFill="1" applyBorder="1" applyAlignment="1">
      <alignment horizontal="center" vertical="center"/>
    </xf>
    <xf numFmtId="0" fontId="18" fillId="2" borderId="0" xfId="0" applyFont="1" applyFill="1" applyAlignment="1" applyProtection="1">
      <alignment horizontal="left"/>
      <protection locked="0"/>
    </xf>
    <xf numFmtId="0" fontId="84" fillId="13" borderId="8" xfId="0" applyFont="1" applyFill="1" applyBorder="1" applyAlignment="1" applyProtection="1">
      <alignment horizontal="left" vertical="center"/>
      <protection locked="0"/>
    </xf>
    <xf numFmtId="0" fontId="55" fillId="22" borderId="16" xfId="0" applyFont="1" applyFill="1" applyBorder="1" applyAlignment="1">
      <alignment horizontal="center" vertical="center"/>
    </xf>
    <xf numFmtId="0" fontId="38" fillId="2" borderId="16" xfId="0" applyFont="1" applyFill="1" applyBorder="1" applyAlignment="1">
      <alignment horizontal="center"/>
    </xf>
    <xf numFmtId="0" fontId="74" fillId="0" borderId="3" xfId="0" applyFont="1" applyBorder="1" applyAlignment="1">
      <alignment vertical="center"/>
    </xf>
    <xf numFmtId="0" fontId="7" fillId="13" borderId="0" xfId="0" applyFont="1" applyFill="1" applyAlignment="1" applyProtection="1">
      <alignment horizontal="center"/>
      <protection locked="0"/>
    </xf>
    <xf numFmtId="0" fontId="27" fillId="11" borderId="1" xfId="0" applyFont="1" applyFill="1" applyBorder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13" fillId="3" borderId="1" xfId="0" applyFont="1" applyFill="1" applyBorder="1" applyProtection="1">
      <protection locked="0"/>
    </xf>
    <xf numFmtId="0" fontId="14" fillId="3" borderId="24" xfId="0" applyFont="1" applyFill="1" applyBorder="1" applyAlignment="1" applyProtection="1">
      <alignment horizontal="center"/>
      <protection locked="0"/>
    </xf>
    <xf numFmtId="0" fontId="5" fillId="3" borderId="24" xfId="0" applyFont="1" applyFill="1" applyBorder="1" applyAlignment="1" applyProtection="1">
      <alignment horizontal="center"/>
      <protection locked="0"/>
    </xf>
    <xf numFmtId="0" fontId="1" fillId="3" borderId="24" xfId="0" applyFont="1" applyFill="1" applyBorder="1" applyAlignment="1" applyProtection="1">
      <alignment horizontal="center"/>
      <protection locked="0"/>
    </xf>
    <xf numFmtId="0" fontId="17" fillId="18" borderId="25" xfId="0" applyFont="1" applyFill="1" applyBorder="1" applyAlignment="1" applyProtection="1">
      <alignment horizontal="center"/>
      <protection locked="0"/>
    </xf>
    <xf numFmtId="0" fontId="17" fillId="18" borderId="26" xfId="0" applyFont="1" applyFill="1" applyBorder="1" applyAlignment="1" applyProtection="1">
      <alignment horizontal="center"/>
      <protection locked="0"/>
    </xf>
    <xf numFmtId="0" fontId="17" fillId="18" borderId="27" xfId="0" applyFont="1" applyFill="1" applyBorder="1" applyAlignment="1" applyProtection="1">
      <alignment horizontal="center"/>
      <protection locked="0"/>
    </xf>
    <xf numFmtId="0" fontId="31" fillId="19" borderId="25" xfId="0" applyFont="1" applyFill="1" applyBorder="1" applyAlignment="1" applyProtection="1">
      <alignment horizontal="center"/>
      <protection locked="0"/>
    </xf>
    <xf numFmtId="0" fontId="31" fillId="19" borderId="26" xfId="0" applyFont="1" applyFill="1" applyBorder="1" applyAlignment="1" applyProtection="1">
      <alignment horizontal="center"/>
      <protection locked="0"/>
    </xf>
    <xf numFmtId="0" fontId="31" fillId="19" borderId="27" xfId="0" applyFont="1" applyFill="1" applyBorder="1" applyAlignment="1" applyProtection="1">
      <alignment horizontal="center"/>
      <protection locked="0"/>
    </xf>
    <xf numFmtId="0" fontId="31" fillId="17" borderId="25" xfId="0" applyFont="1" applyFill="1" applyBorder="1" applyAlignment="1" applyProtection="1">
      <alignment horizontal="center"/>
      <protection locked="0"/>
    </xf>
    <xf numFmtId="0" fontId="31" fillId="17" borderId="26" xfId="0" applyFont="1" applyFill="1" applyBorder="1" applyAlignment="1" applyProtection="1">
      <alignment horizontal="center"/>
      <protection locked="0"/>
    </xf>
    <xf numFmtId="0" fontId="31" fillId="17" borderId="27" xfId="0" applyFont="1" applyFill="1" applyBorder="1" applyAlignment="1" applyProtection="1">
      <alignment horizontal="center"/>
      <protection locked="0"/>
    </xf>
    <xf numFmtId="0" fontId="31" fillId="20" borderId="25" xfId="0" applyFont="1" applyFill="1" applyBorder="1" applyAlignment="1" applyProtection="1">
      <alignment horizontal="center" wrapText="1"/>
      <protection locked="0"/>
    </xf>
    <xf numFmtId="0" fontId="31" fillId="20" borderId="26" xfId="0" applyFont="1" applyFill="1" applyBorder="1" applyAlignment="1" applyProtection="1">
      <alignment horizontal="center" wrapText="1"/>
      <protection locked="0"/>
    </xf>
    <xf numFmtId="0" fontId="31" fillId="20" borderId="27" xfId="0" applyFont="1" applyFill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13" fillId="0" borderId="1" xfId="0" applyFont="1" applyBorder="1" applyAlignment="1" applyProtection="1">
      <alignment vertical="center"/>
      <protection locked="0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0" fontId="1" fillId="12" borderId="4" xfId="0" applyFont="1" applyFill="1" applyBorder="1" applyAlignment="1" applyProtection="1">
      <alignment horizontal="center" vertical="center"/>
      <protection locked="0"/>
    </xf>
    <xf numFmtId="0" fontId="24" fillId="17" borderId="7" xfId="0" applyFont="1" applyFill="1" applyBorder="1" applyAlignment="1" applyProtection="1">
      <alignment horizontal="center" vertical="center"/>
      <protection locked="0"/>
    </xf>
    <xf numFmtId="0" fontId="24" fillId="17" borderId="0" xfId="0" applyFont="1" applyFill="1" applyAlignment="1" applyProtection="1">
      <alignment horizontal="center" vertical="center"/>
      <protection locked="0"/>
    </xf>
    <xf numFmtId="0" fontId="27" fillId="5" borderId="1" xfId="0" applyFont="1" applyFill="1" applyBorder="1" applyAlignment="1" applyProtection="1">
      <alignment horizontal="center" vertical="center" wrapText="1"/>
      <protection locked="0"/>
    </xf>
    <xf numFmtId="0" fontId="27" fillId="5" borderId="2" xfId="0" applyFont="1" applyFill="1" applyBorder="1" applyAlignment="1" applyProtection="1">
      <alignment horizontal="center" vertical="center" wrapText="1"/>
      <protection locked="0"/>
    </xf>
    <xf numFmtId="0" fontId="13" fillId="0" borderId="1" xfId="0" applyFont="1" applyBorder="1" applyProtection="1">
      <protection locked="0"/>
    </xf>
    <xf numFmtId="0" fontId="13" fillId="0" borderId="1" xfId="0" applyFont="1" applyBorder="1" applyAlignment="1" applyProtection="1">
      <alignment horizontal="center"/>
      <protection locked="0"/>
    </xf>
    <xf numFmtId="0" fontId="33" fillId="0" borderId="1" xfId="0" applyFont="1" applyBorder="1" applyAlignment="1" applyProtection="1">
      <alignment horizontal="center" vertical="center"/>
      <protection locked="0"/>
    </xf>
    <xf numFmtId="0" fontId="20" fillId="4" borderId="1" xfId="0" applyFont="1" applyFill="1" applyBorder="1" applyAlignment="1" applyProtection="1">
      <alignment horizontal="center" vertical="center" wrapText="1"/>
      <protection locked="0"/>
    </xf>
    <xf numFmtId="0" fontId="20" fillId="5" borderId="1" xfId="0" applyFont="1" applyFill="1" applyBorder="1" applyAlignment="1" applyProtection="1">
      <alignment horizontal="center" vertical="center" wrapText="1"/>
      <protection locked="0"/>
    </xf>
    <xf numFmtId="0" fontId="27" fillId="6" borderId="1" xfId="0" applyFont="1" applyFill="1" applyBorder="1" applyAlignment="1" applyProtection="1">
      <alignment horizontal="center" vertical="center" wrapText="1"/>
      <protection locked="0"/>
    </xf>
    <xf numFmtId="0" fontId="82" fillId="7" borderId="1" xfId="0" applyFont="1" applyFill="1" applyBorder="1" applyAlignment="1" applyProtection="1">
      <alignment horizontal="center" vertical="center" wrapText="1"/>
      <protection locked="0"/>
    </xf>
    <xf numFmtId="0" fontId="83" fillId="8" borderId="1" xfId="0" applyFont="1" applyFill="1" applyBorder="1" applyAlignment="1" applyProtection="1">
      <alignment horizontal="center" vertical="center" wrapText="1"/>
      <protection locked="0"/>
    </xf>
    <xf numFmtId="0" fontId="27" fillId="9" borderId="1" xfId="0" applyFont="1" applyFill="1" applyBorder="1" applyAlignment="1" applyProtection="1">
      <alignment horizontal="center" vertical="center" wrapText="1"/>
      <protection locked="0"/>
    </xf>
    <xf numFmtId="0" fontId="27" fillId="10" borderId="1" xfId="0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Protection="1">
      <protection locked="0"/>
    </xf>
    <xf numFmtId="0" fontId="15" fillId="14" borderId="1" xfId="0" applyFont="1" applyFill="1" applyBorder="1" applyAlignment="1" applyProtection="1">
      <alignment vertical="center"/>
      <protection locked="0"/>
    </xf>
    <xf numFmtId="0" fontId="2" fillId="0" borderId="21" xfId="0" applyFont="1" applyBorder="1" applyAlignment="1" applyProtection="1">
      <alignment horizontal="center"/>
      <protection locked="0"/>
    </xf>
    <xf numFmtId="0" fontId="2" fillId="0" borderId="22" xfId="0" applyFont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7" fillId="13" borderId="6" xfId="0" applyFont="1" applyFill="1" applyBorder="1" applyProtection="1">
      <protection locked="0"/>
    </xf>
    <xf numFmtId="0" fontId="7" fillId="0" borderId="6" xfId="0" applyFont="1" applyBorder="1" applyProtection="1">
      <protection locked="0"/>
    </xf>
    <xf numFmtId="0" fontId="13" fillId="0" borderId="0" xfId="0" applyFont="1" applyAlignment="1" applyProtection="1">
      <alignment horizontal="right" vertical="center" wrapText="1"/>
      <protection locked="0"/>
    </xf>
    <xf numFmtId="0" fontId="13" fillId="0" borderId="23" xfId="0" applyFont="1" applyBorder="1" applyAlignment="1" applyProtection="1">
      <alignment horizontal="right" vertical="center" wrapText="1"/>
      <protection locked="0"/>
    </xf>
    <xf numFmtId="0" fontId="44" fillId="2" borderId="10" xfId="0" applyFont="1" applyFill="1" applyBorder="1" applyAlignment="1">
      <alignment horizontal="center" vertical="center"/>
    </xf>
    <xf numFmtId="0" fontId="44" fillId="2" borderId="12" xfId="0" applyFont="1" applyFill="1" applyBorder="1" applyAlignment="1">
      <alignment horizontal="center" vertical="center"/>
    </xf>
    <xf numFmtId="0" fontId="19" fillId="13" borderId="0" xfId="0" applyFont="1" applyFill="1" applyAlignment="1" applyProtection="1">
      <alignment horizontal="center" vertical="center" textRotation="180"/>
      <protection locked="0"/>
    </xf>
    <xf numFmtId="0" fontId="17" fillId="13" borderId="0" xfId="0" applyFont="1" applyFill="1" applyAlignment="1" applyProtection="1">
      <alignment horizontal="center" vertical="center" textRotation="180"/>
      <protection locked="0"/>
    </xf>
    <xf numFmtId="0" fontId="40" fillId="2" borderId="12" xfId="0" applyFont="1" applyFill="1" applyBorder="1" applyAlignment="1">
      <alignment horizontal="center" vertical="center"/>
    </xf>
    <xf numFmtId="0" fontId="40" fillId="2" borderId="35" xfId="0" applyFont="1" applyFill="1" applyBorder="1" applyAlignment="1">
      <alignment horizontal="center" vertical="center"/>
    </xf>
    <xf numFmtId="0" fontId="40" fillId="2" borderId="30" xfId="0" applyFont="1" applyFill="1" applyBorder="1" applyAlignment="1">
      <alignment horizontal="center" vertical="center"/>
    </xf>
    <xf numFmtId="0" fontId="40" fillId="2" borderId="29" xfId="0" applyFont="1" applyFill="1" applyBorder="1" applyAlignment="1">
      <alignment horizontal="center" vertical="center"/>
    </xf>
    <xf numFmtId="0" fontId="37" fillId="15" borderId="8" xfId="0" applyFont="1" applyFill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43" fillId="0" borderId="8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/>
    </xf>
    <xf numFmtId="0" fontId="39" fillId="0" borderId="17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left" vertical="center" wrapText="1"/>
      <protection hidden="1"/>
    </xf>
    <xf numFmtId="0" fontId="15" fillId="0" borderId="0" xfId="0" applyFont="1" applyAlignment="1" applyProtection="1">
      <alignment horizontal="left"/>
      <protection hidden="1"/>
    </xf>
    <xf numFmtId="0" fontId="16" fillId="0" borderId="0" xfId="0" applyFont="1" applyAlignment="1" applyProtection="1">
      <alignment horizontal="left" vertical="center" wrapText="1"/>
      <protection locked="0"/>
    </xf>
    <xf numFmtId="14" fontId="15" fillId="0" borderId="0" xfId="0" applyNumberFormat="1" applyFont="1" applyAlignment="1" applyProtection="1">
      <alignment horizontal="left"/>
      <protection hidden="1"/>
    </xf>
    <xf numFmtId="49" fontId="15" fillId="0" borderId="0" xfId="0" applyNumberFormat="1" applyFont="1" applyAlignment="1" applyProtection="1">
      <alignment horizontal="left" vertical="center" wrapText="1"/>
      <protection hidden="1"/>
    </xf>
    <xf numFmtId="0" fontId="0" fillId="0" borderId="0" xfId="0" applyAlignment="1" applyProtection="1">
      <alignment horizontal="center"/>
      <protection locked="0"/>
    </xf>
    <xf numFmtId="0" fontId="41" fillId="0" borderId="0" xfId="0" applyFont="1" applyAlignment="1" applyProtection="1">
      <alignment horizontal="center" wrapText="1"/>
      <protection locked="0"/>
    </xf>
    <xf numFmtId="0" fontId="38" fillId="0" borderId="32" xfId="0" applyFont="1" applyBorder="1" applyAlignment="1" applyProtection="1">
      <alignment horizontal="center" vertical="center"/>
      <protection hidden="1"/>
    </xf>
    <xf numFmtId="0" fontId="38" fillId="0" borderId="38" xfId="0" applyFont="1" applyBorder="1" applyAlignment="1" applyProtection="1">
      <alignment horizontal="center" vertical="center"/>
      <protection hidden="1"/>
    </xf>
    <xf numFmtId="0" fontId="38" fillId="0" borderId="33" xfId="0" applyFont="1" applyBorder="1" applyAlignment="1" applyProtection="1">
      <alignment horizontal="center" vertical="center"/>
      <protection hidden="1"/>
    </xf>
    <xf numFmtId="0" fontId="38" fillId="0" borderId="10" xfId="0" applyFont="1" applyBorder="1" applyAlignment="1" applyProtection="1">
      <alignment horizontal="center" vertical="center"/>
      <protection hidden="1"/>
    </xf>
    <xf numFmtId="0" fontId="38" fillId="0" borderId="13" xfId="0" applyFont="1" applyBorder="1" applyAlignment="1" applyProtection="1">
      <alignment horizontal="center" vertical="center"/>
      <protection hidden="1"/>
    </xf>
    <xf numFmtId="0" fontId="17" fillId="13" borderId="37" xfId="0" applyFont="1" applyFill="1" applyBorder="1" applyAlignment="1" applyProtection="1">
      <alignment horizontal="center"/>
      <protection locked="0"/>
    </xf>
    <xf numFmtId="0" fontId="17" fillId="13" borderId="0" xfId="0" applyFont="1" applyFill="1" applyAlignment="1" applyProtection="1">
      <alignment horizontal="center"/>
      <protection locked="0"/>
    </xf>
    <xf numFmtId="0" fontId="17" fillId="13" borderId="35" xfId="0" applyFont="1" applyFill="1" applyBorder="1" applyAlignment="1" applyProtection="1">
      <alignment horizontal="center" vertical="center"/>
      <protection locked="0"/>
    </xf>
    <xf numFmtId="0" fontId="17" fillId="13" borderId="30" xfId="0" applyFont="1" applyFill="1" applyBorder="1" applyAlignment="1" applyProtection="1">
      <alignment horizontal="center" vertical="center"/>
      <protection locked="0"/>
    </xf>
    <xf numFmtId="0" fontId="17" fillId="13" borderId="29" xfId="0" applyFont="1" applyFill="1" applyBorder="1" applyAlignment="1" applyProtection="1">
      <alignment horizontal="center" vertical="center"/>
      <protection locked="0"/>
    </xf>
    <xf numFmtId="0" fontId="19" fillId="13" borderId="39" xfId="0" applyFont="1" applyFill="1" applyBorder="1" applyAlignment="1" applyProtection="1">
      <alignment horizontal="center" vertical="center"/>
      <protection locked="0"/>
    </xf>
    <xf numFmtId="0" fontId="19" fillId="13" borderId="40" xfId="0" applyFont="1" applyFill="1" applyBorder="1" applyAlignment="1" applyProtection="1">
      <alignment horizontal="center" vertical="center"/>
      <protection locked="0"/>
    </xf>
    <xf numFmtId="0" fontId="38" fillId="0" borderId="12" xfId="0" applyFont="1" applyBorder="1" applyAlignment="1" applyProtection="1">
      <alignment horizontal="center" vertical="center"/>
      <protection hidden="1"/>
    </xf>
    <xf numFmtId="0" fontId="20" fillId="2" borderId="7" xfId="0" applyFont="1" applyFill="1" applyBorder="1" applyAlignment="1" applyProtection="1">
      <alignment horizontal="left"/>
      <protection locked="0"/>
    </xf>
    <xf numFmtId="0" fontId="20" fillId="2" borderId="0" xfId="0" applyFont="1" applyFill="1" applyAlignment="1" applyProtection="1">
      <alignment horizontal="left"/>
      <protection locked="0"/>
    </xf>
    <xf numFmtId="0" fontId="13" fillId="2" borderId="7" xfId="0" applyFont="1" applyFill="1" applyBorder="1" applyAlignment="1" applyProtection="1">
      <alignment horizontal="left"/>
      <protection locked="0"/>
    </xf>
    <xf numFmtId="0" fontId="13" fillId="2" borderId="0" xfId="0" applyFont="1" applyFill="1" applyAlignment="1" applyProtection="1">
      <alignment horizontal="left"/>
      <protection locked="0"/>
    </xf>
    <xf numFmtId="0" fontId="18" fillId="0" borderId="35" xfId="0" applyFont="1" applyBorder="1" applyAlignment="1" applyProtection="1">
      <alignment vertical="center" wrapText="1"/>
      <protection locked="0"/>
    </xf>
    <xf numFmtId="0" fontId="18" fillId="0" borderId="29" xfId="0" applyFont="1" applyBorder="1" applyAlignment="1" applyProtection="1">
      <alignment vertical="center" wrapText="1"/>
      <protection locked="0"/>
    </xf>
    <xf numFmtId="0" fontId="55" fillId="2" borderId="10" xfId="0" applyFont="1" applyFill="1" applyBorder="1" applyAlignment="1">
      <alignment horizontal="center" vertical="center"/>
    </xf>
    <xf numFmtId="0" fontId="55" fillId="2" borderId="13" xfId="0" applyFont="1" applyFill="1" applyBorder="1" applyAlignment="1">
      <alignment horizontal="center" vertical="center"/>
    </xf>
    <xf numFmtId="0" fontId="18" fillId="16" borderId="8" xfId="0" applyFont="1" applyFill="1" applyBorder="1" applyAlignment="1" applyProtection="1">
      <alignment horizontal="center" vertical="center"/>
      <protection locked="0"/>
    </xf>
    <xf numFmtId="0" fontId="18" fillId="16" borderId="13" xfId="0" applyFont="1" applyFill="1" applyBorder="1" applyAlignment="1" applyProtection="1">
      <alignment horizontal="center" vertical="center"/>
      <protection locked="0"/>
    </xf>
    <xf numFmtId="0" fontId="18" fillId="16" borderId="10" xfId="0" applyFont="1" applyFill="1" applyBorder="1" applyAlignment="1" applyProtection="1">
      <alignment horizontal="center" vertical="center"/>
      <protection locked="0"/>
    </xf>
    <xf numFmtId="0" fontId="28" fillId="0" borderId="0" xfId="0" applyFont="1" applyAlignment="1" applyProtection="1">
      <alignment horizontal="right"/>
      <protection locked="0"/>
    </xf>
    <xf numFmtId="49" fontId="15" fillId="0" borderId="0" xfId="0" applyNumberFormat="1" applyFont="1" applyAlignment="1" applyProtection="1">
      <alignment horizontal="left"/>
      <protection hidden="1"/>
    </xf>
    <xf numFmtId="49" fontId="15" fillId="0" borderId="23" xfId="0" applyNumberFormat="1" applyFont="1" applyBorder="1" applyAlignment="1" applyProtection="1">
      <alignment horizontal="left"/>
      <protection hidden="1"/>
    </xf>
    <xf numFmtId="0" fontId="0" fillId="0" borderId="23" xfId="0" applyBorder="1" applyAlignment="1" applyProtection="1">
      <alignment horizontal="center"/>
      <protection locked="0"/>
    </xf>
    <xf numFmtId="0" fontId="18" fillId="0" borderId="30" xfId="0" applyFont="1" applyBorder="1" applyAlignment="1" applyProtection="1">
      <alignment vertical="center" wrapText="1"/>
      <protection locked="0"/>
    </xf>
    <xf numFmtId="0" fontId="40" fillId="2" borderId="8" xfId="0" applyFont="1" applyFill="1" applyBorder="1" applyAlignment="1">
      <alignment horizontal="center" vertical="center"/>
    </xf>
    <xf numFmtId="0" fontId="17" fillId="13" borderId="0" xfId="0" applyFont="1" applyFill="1" applyAlignment="1" applyProtection="1">
      <alignment horizontal="center" vertical="center"/>
      <protection locked="0"/>
    </xf>
    <xf numFmtId="0" fontId="17" fillId="13" borderId="20" xfId="0" applyFont="1" applyFill="1" applyBorder="1" applyAlignment="1" applyProtection="1">
      <alignment horizontal="center" vertical="center"/>
      <protection locked="0"/>
    </xf>
    <xf numFmtId="0" fontId="17" fillId="13" borderId="8" xfId="0" applyFont="1" applyFill="1" applyBorder="1" applyAlignment="1" applyProtection="1">
      <alignment horizontal="center" vertical="center"/>
      <protection locked="0"/>
    </xf>
    <xf numFmtId="0" fontId="19" fillId="13" borderId="8" xfId="0" applyFont="1" applyFill="1" applyBorder="1" applyAlignment="1" applyProtection="1">
      <alignment horizontal="right" vertical="center"/>
      <protection locked="0"/>
    </xf>
    <xf numFmtId="0" fontId="19" fillId="13" borderId="13" xfId="0" applyFont="1" applyFill="1" applyBorder="1" applyAlignment="1" applyProtection="1">
      <alignment horizontal="right" vertical="center"/>
      <protection locked="0"/>
    </xf>
    <xf numFmtId="0" fontId="40" fillId="2" borderId="10" xfId="0" applyFont="1" applyFill="1" applyBorder="1" applyAlignment="1">
      <alignment horizontal="center" vertical="center"/>
    </xf>
    <xf numFmtId="0" fontId="40" fillId="2" borderId="13" xfId="0" applyFont="1" applyFill="1" applyBorder="1" applyAlignment="1">
      <alignment horizontal="center" vertical="center"/>
    </xf>
    <xf numFmtId="0" fontId="61" fillId="0" borderId="0" xfId="0" applyFont="1" applyAlignment="1" applyProtection="1">
      <alignment horizontal="right" vertical="center" wrapText="1"/>
      <protection locked="0"/>
    </xf>
    <xf numFmtId="0" fontId="41" fillId="0" borderId="0" xfId="0" applyFont="1" applyAlignment="1" applyProtection="1">
      <alignment horizontal="center" vertical="center" wrapText="1"/>
      <protection locked="0"/>
    </xf>
    <xf numFmtId="0" fontId="29" fillId="0" borderId="0" xfId="0" applyFont="1" applyAlignment="1" applyProtection="1">
      <alignment horizontal="center" vertical="center" wrapText="1"/>
      <protection locked="0"/>
    </xf>
    <xf numFmtId="49" fontId="15" fillId="0" borderId="0" xfId="0" applyNumberFormat="1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77" fillId="2" borderId="12" xfId="0" applyFont="1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14" fontId="15" fillId="0" borderId="0" xfId="0" applyNumberFormat="1" applyFont="1" applyAlignment="1">
      <alignment horizontal="left"/>
    </xf>
    <xf numFmtId="49" fontId="15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0" fontId="44" fillId="2" borderId="13" xfId="0" applyFont="1" applyFill="1" applyBorder="1" applyAlignment="1">
      <alignment horizontal="center" vertical="center"/>
    </xf>
    <xf numFmtId="0" fontId="80" fillId="2" borderId="35" xfId="0" applyFont="1" applyFill="1" applyBorder="1" applyAlignment="1">
      <alignment horizontal="center" vertical="center"/>
    </xf>
    <xf numFmtId="0" fontId="80" fillId="2" borderId="30" xfId="0" applyFont="1" applyFill="1" applyBorder="1" applyAlignment="1">
      <alignment horizontal="center" vertical="center"/>
    </xf>
    <xf numFmtId="0" fontId="80" fillId="2" borderId="29" xfId="0" applyFont="1" applyFill="1" applyBorder="1" applyAlignment="1">
      <alignment horizontal="center" vertical="center"/>
    </xf>
    <xf numFmtId="0" fontId="80" fillId="2" borderId="10" xfId="0" applyFont="1" applyFill="1" applyBorder="1" applyAlignment="1">
      <alignment horizontal="center" vertical="center"/>
    </xf>
    <xf numFmtId="0" fontId="80" fillId="2" borderId="13" xfId="0" applyFont="1" applyFill="1" applyBorder="1" applyAlignment="1">
      <alignment horizontal="center" vertical="center"/>
    </xf>
    <xf numFmtId="49" fontId="15" fillId="0" borderId="0" xfId="0" applyNumberFormat="1" applyFont="1" applyAlignment="1">
      <alignment horizontal="left"/>
    </xf>
    <xf numFmtId="0" fontId="15" fillId="0" borderId="23" xfId="0" applyFont="1" applyBorder="1" applyAlignment="1">
      <alignment horizontal="left"/>
    </xf>
    <xf numFmtId="0" fontId="80" fillId="2" borderId="12" xfId="0" applyFont="1" applyFill="1" applyBorder="1" applyAlignment="1">
      <alignment horizontal="center" vertical="center"/>
    </xf>
    <xf numFmtId="0" fontId="60" fillId="0" borderId="0" xfId="0" applyFont="1" applyAlignment="1" applyProtection="1">
      <alignment horizontal="center" wrapText="1"/>
      <protection locked="0"/>
    </xf>
    <xf numFmtId="0" fontId="80" fillId="2" borderId="8" xfId="0" applyFont="1" applyFill="1" applyBorder="1" applyAlignment="1">
      <alignment horizontal="center" vertical="center"/>
    </xf>
    <xf numFmtId="0" fontId="81" fillId="2" borderId="10" xfId="0" applyFont="1" applyFill="1" applyBorder="1" applyAlignment="1">
      <alignment horizontal="center" vertical="center"/>
    </xf>
    <xf numFmtId="0" fontId="81" fillId="2" borderId="12" xfId="0" applyFont="1" applyFill="1" applyBorder="1" applyAlignment="1">
      <alignment horizontal="center" vertical="center"/>
    </xf>
    <xf numFmtId="0" fontId="81" fillId="2" borderId="13" xfId="0" applyFont="1" applyFill="1" applyBorder="1" applyAlignment="1">
      <alignment horizontal="center" vertical="center"/>
    </xf>
    <xf numFmtId="0" fontId="55" fillId="13" borderId="17" xfId="0" applyFont="1" applyFill="1" applyBorder="1" applyAlignment="1">
      <alignment horizontal="center"/>
    </xf>
    <xf numFmtId="0" fontId="55" fillId="13" borderId="20" xfId="0" applyFont="1" applyFill="1" applyBorder="1" applyAlignment="1">
      <alignment horizontal="center"/>
    </xf>
    <xf numFmtId="0" fontId="55" fillId="0" borderId="8" xfId="0" applyFont="1" applyBorder="1" applyAlignment="1">
      <alignment horizontal="center" vertical="center"/>
    </xf>
    <xf numFmtId="0" fontId="37" fillId="15" borderId="16" xfId="0" applyFont="1" applyFill="1" applyBorder="1" applyAlignment="1" applyProtection="1">
      <alignment horizontal="center" vertical="center" wrapText="1"/>
      <protection locked="0"/>
    </xf>
    <xf numFmtId="0" fontId="37" fillId="15" borderId="17" xfId="0" applyFont="1" applyFill="1" applyBorder="1" applyAlignment="1" applyProtection="1">
      <alignment horizontal="center" vertical="center" wrapText="1"/>
      <protection locked="0"/>
    </xf>
    <xf numFmtId="0" fontId="37" fillId="15" borderId="20" xfId="0" applyFont="1" applyFill="1" applyBorder="1" applyAlignment="1" applyProtection="1">
      <alignment horizontal="center" vertical="center" wrapText="1"/>
      <protection locked="0"/>
    </xf>
    <xf numFmtId="0" fontId="65" fillId="0" borderId="35" xfId="0" applyFont="1" applyBorder="1" applyAlignment="1" applyProtection="1">
      <alignment vertical="center" wrapText="1"/>
      <protection locked="0"/>
    </xf>
    <xf numFmtId="0" fontId="65" fillId="0" borderId="29" xfId="0" applyFont="1" applyBorder="1" applyAlignment="1" applyProtection="1">
      <alignment vertical="center" wrapText="1"/>
      <protection locked="0"/>
    </xf>
    <xf numFmtId="0" fontId="60" fillId="0" borderId="0" xfId="0" applyFont="1" applyAlignment="1" applyProtection="1">
      <alignment horizontal="center" vertical="center" wrapText="1"/>
      <protection locked="0"/>
    </xf>
    <xf numFmtId="0" fontId="55" fillId="2" borderId="12" xfId="0" applyFont="1" applyFill="1" applyBorder="1" applyAlignment="1">
      <alignment horizontal="center" vertical="center"/>
    </xf>
    <xf numFmtId="0" fontId="77" fillId="2" borderId="35" xfId="0" applyFont="1" applyFill="1" applyBorder="1" applyAlignment="1">
      <alignment horizontal="center" vertical="center"/>
    </xf>
    <xf numFmtId="0" fontId="77" fillId="2" borderId="30" xfId="0" applyFont="1" applyFill="1" applyBorder="1" applyAlignment="1">
      <alignment horizontal="center" vertical="center"/>
    </xf>
    <xf numFmtId="0" fontId="77" fillId="2" borderId="29" xfId="0" applyFont="1" applyFill="1" applyBorder="1" applyAlignment="1">
      <alignment horizontal="center" vertical="center"/>
    </xf>
    <xf numFmtId="0" fontId="77" fillId="2" borderId="8" xfId="0" applyFont="1" applyFill="1" applyBorder="1" applyAlignment="1">
      <alignment horizontal="center" vertical="center"/>
    </xf>
    <xf numFmtId="0" fontId="28" fillId="0" borderId="47" xfId="0" applyFont="1" applyBorder="1" applyAlignment="1" applyProtection="1">
      <alignment horizontal="right"/>
      <protection locked="0"/>
    </xf>
    <xf numFmtId="49" fontId="14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28" fillId="0" borderId="0" xfId="0" applyFont="1" applyAlignment="1" applyProtection="1">
      <alignment horizontal="right" vertical="center"/>
      <protection locked="0"/>
    </xf>
    <xf numFmtId="49" fontId="15" fillId="0" borderId="23" xfId="0" applyNumberFormat="1" applyFont="1" applyBorder="1" applyAlignment="1">
      <alignment horizontal="left"/>
    </xf>
    <xf numFmtId="0" fontId="28" fillId="2" borderId="0" xfId="0" applyFont="1" applyFill="1" applyAlignment="1" applyProtection="1">
      <alignment horizontal="right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14" fontId="14" fillId="0" borderId="0" xfId="0" applyNumberFormat="1" applyFont="1" applyAlignment="1">
      <alignment horizontal="left"/>
    </xf>
    <xf numFmtId="0" fontId="22" fillId="0" borderId="0" xfId="0" applyFont="1" applyAlignment="1" applyProtection="1">
      <alignment horizontal="center"/>
      <protection locked="0"/>
    </xf>
    <xf numFmtId="0" fontId="71" fillId="0" borderId="0" xfId="0" applyFont="1" applyAlignment="1" applyProtection="1">
      <alignment horizontal="center" wrapText="1"/>
      <protection locked="0"/>
    </xf>
    <xf numFmtId="0" fontId="19" fillId="13" borderId="48" xfId="0" applyFont="1" applyFill="1" applyBorder="1" applyAlignment="1" applyProtection="1">
      <alignment horizontal="center" vertical="center"/>
      <protection locked="0"/>
    </xf>
    <xf numFmtId="0" fontId="17" fillId="13" borderId="47" xfId="0" applyFont="1" applyFill="1" applyBorder="1" applyAlignment="1" applyProtection="1">
      <alignment horizontal="center"/>
      <protection locked="0"/>
    </xf>
    <xf numFmtId="0" fontId="17" fillId="13" borderId="32" xfId="0" applyFont="1" applyFill="1" applyBorder="1" applyAlignment="1" applyProtection="1">
      <alignment horizontal="center" vertical="center"/>
      <protection locked="0"/>
    </xf>
    <xf numFmtId="0" fontId="17" fillId="13" borderId="38" xfId="0" applyFont="1" applyFill="1" applyBorder="1" applyAlignment="1" applyProtection="1">
      <alignment horizontal="center" vertical="center"/>
      <protection locked="0"/>
    </xf>
    <xf numFmtId="0" fontId="17" fillId="13" borderId="33" xfId="0" applyFont="1" applyFill="1" applyBorder="1" applyAlignment="1" applyProtection="1">
      <alignment horizontal="center" vertical="center"/>
      <protection locked="0"/>
    </xf>
    <xf numFmtId="0" fontId="13" fillId="0" borderId="16" xfId="0" applyFont="1" applyBorder="1" applyAlignment="1" applyProtection="1">
      <alignment horizontal="center" vertical="center"/>
      <protection locked="0"/>
    </xf>
    <xf numFmtId="0" fontId="13" fillId="0" borderId="17" xfId="0" applyFont="1" applyBorder="1" applyAlignment="1" applyProtection="1">
      <alignment horizontal="center" vertical="center"/>
      <protection locked="0"/>
    </xf>
    <xf numFmtId="0" fontId="13" fillId="0" borderId="20" xfId="0" applyFont="1" applyBorder="1" applyAlignment="1" applyProtection="1">
      <alignment horizontal="center" vertical="center"/>
      <protection locked="0"/>
    </xf>
    <xf numFmtId="0" fontId="59" fillId="0" borderId="8" xfId="0" applyFont="1" applyBorder="1" applyAlignment="1">
      <alignment horizontal="center" vertical="center"/>
    </xf>
    <xf numFmtId="0" fontId="70" fillId="0" borderId="8" xfId="0" applyFont="1" applyBorder="1" applyAlignment="1">
      <alignment horizontal="center" vertical="center"/>
    </xf>
    <xf numFmtId="0" fontId="65" fillId="0" borderId="17" xfId="0" applyFont="1" applyBorder="1" applyAlignment="1" applyProtection="1">
      <alignment horizontal="center" vertical="center"/>
      <protection locked="0"/>
    </xf>
    <xf numFmtId="0" fontId="77" fillId="2" borderId="10" xfId="0" applyFont="1" applyFill="1" applyBorder="1" applyAlignment="1">
      <alignment horizontal="center" vertical="center"/>
    </xf>
    <xf numFmtId="0" fontId="77" fillId="2" borderId="13" xfId="0" applyFont="1" applyFill="1" applyBorder="1" applyAlignment="1">
      <alignment horizontal="center" vertical="center"/>
    </xf>
    <xf numFmtId="0" fontId="18" fillId="16" borderId="20" xfId="0" applyFont="1" applyFill="1" applyBorder="1" applyAlignment="1" applyProtection="1">
      <alignment horizontal="center" vertical="center"/>
      <protection locked="0"/>
    </xf>
    <xf numFmtId="0" fontId="39" fillId="0" borderId="16" xfId="0" applyFont="1" applyBorder="1" applyAlignment="1" applyProtection="1">
      <alignment horizontal="center" vertical="center"/>
      <protection locked="0"/>
    </xf>
    <xf numFmtId="0" fontId="50" fillId="0" borderId="8" xfId="0" applyFont="1" applyBorder="1" applyAlignment="1">
      <alignment horizontal="center" vertical="center"/>
    </xf>
    <xf numFmtId="0" fontId="49" fillId="0" borderId="8" xfId="0" applyFont="1" applyBorder="1" applyAlignment="1">
      <alignment horizontal="center" vertical="center"/>
    </xf>
    <xf numFmtId="0" fontId="39" fillId="0" borderId="23" xfId="0" applyFont="1" applyBorder="1" applyAlignment="1" applyProtection="1">
      <alignment horizontal="center" vertical="center"/>
      <protection locked="0"/>
    </xf>
    <xf numFmtId="0" fontId="39" fillId="0" borderId="35" xfId="0" applyFont="1" applyBorder="1" applyAlignment="1" applyProtection="1">
      <alignment vertical="center" wrapText="1"/>
      <protection locked="0"/>
    </xf>
    <xf numFmtId="0" fontId="39" fillId="0" borderId="29" xfId="0" applyFont="1" applyBorder="1" applyAlignment="1" applyProtection="1">
      <alignment vertical="center" wrapText="1"/>
      <protection locked="0"/>
    </xf>
    <xf numFmtId="0" fontId="19" fillId="13" borderId="42" xfId="0" applyFont="1" applyFill="1" applyBorder="1" applyAlignment="1" applyProtection="1">
      <alignment horizontal="center" vertical="center" textRotation="180"/>
      <protection locked="0"/>
    </xf>
    <xf numFmtId="0" fontId="58" fillId="0" borderId="8" xfId="0" applyFont="1" applyBorder="1" applyAlignment="1">
      <alignment horizontal="center" vertical="center"/>
    </xf>
    <xf numFmtId="0" fontId="57" fillId="0" borderId="8" xfId="0" applyFont="1" applyBorder="1" applyAlignment="1">
      <alignment horizontal="center" vertical="center"/>
    </xf>
    <xf numFmtId="0" fontId="18" fillId="2" borderId="7" xfId="0" applyFont="1" applyFill="1" applyBorder="1" applyAlignment="1" applyProtection="1">
      <alignment horizontal="left"/>
      <protection locked="0"/>
    </xf>
    <xf numFmtId="0" fontId="18" fillId="2" borderId="0" xfId="0" applyFont="1" applyFill="1" applyAlignment="1" applyProtection="1">
      <alignment horizontal="left"/>
      <protection locked="0"/>
    </xf>
    <xf numFmtId="49" fontId="15" fillId="0" borderId="23" xfId="0" applyNumberFormat="1" applyFont="1" applyBorder="1" applyAlignment="1">
      <alignment horizontal="left" vertical="center"/>
    </xf>
    <xf numFmtId="0" fontId="64" fillId="0" borderId="17" xfId="0" applyFont="1" applyBorder="1" applyAlignment="1" applyProtection="1">
      <alignment horizontal="center" vertical="center"/>
      <protection locked="0"/>
    </xf>
    <xf numFmtId="0" fontId="63" fillId="0" borderId="35" xfId="0" applyFont="1" applyBorder="1" applyAlignment="1" applyProtection="1">
      <alignment vertical="center" wrapText="1"/>
      <protection locked="0"/>
    </xf>
    <xf numFmtId="0" fontId="63" fillId="0" borderId="29" xfId="0" applyFont="1" applyBorder="1" applyAlignment="1" applyProtection="1">
      <alignment vertical="center" wrapText="1"/>
      <protection locked="0"/>
    </xf>
    <xf numFmtId="0" fontId="63" fillId="0" borderId="30" xfId="0" applyFont="1" applyBorder="1" applyAlignment="1" applyProtection="1">
      <alignment vertical="center" wrapText="1"/>
      <protection locked="0"/>
    </xf>
    <xf numFmtId="0" fontId="63" fillId="0" borderId="36" xfId="0" applyFont="1" applyBorder="1" applyAlignment="1" applyProtection="1">
      <alignment vertical="center" wrapText="1"/>
      <protection locked="0"/>
    </xf>
    <xf numFmtId="0" fontId="79" fillId="0" borderId="35" xfId="0" applyFont="1" applyBorder="1" applyAlignment="1" applyProtection="1">
      <alignment vertical="center" wrapText="1"/>
      <protection locked="0"/>
    </xf>
    <xf numFmtId="0" fontId="79" fillId="0" borderId="29" xfId="0" applyFont="1" applyBorder="1" applyAlignment="1" applyProtection="1">
      <alignment vertical="center" wrapText="1"/>
      <protection locked="0"/>
    </xf>
    <xf numFmtId="0" fontId="64" fillId="0" borderId="17" xfId="0" applyFont="1" applyBorder="1" applyAlignment="1" applyProtection="1">
      <alignment horizontal="left" vertical="center"/>
      <protection locked="0"/>
    </xf>
    <xf numFmtId="0" fontId="17" fillId="13" borderId="16" xfId="0" applyFont="1" applyFill="1" applyBorder="1" applyAlignment="1" applyProtection="1">
      <alignment horizontal="center" vertical="center"/>
      <protection locked="0"/>
    </xf>
    <xf numFmtId="0" fontId="13" fillId="0" borderId="13" xfId="0" applyFont="1" applyBorder="1" applyAlignment="1" applyProtection="1">
      <alignment horizontal="center" vertical="center"/>
      <protection locked="0"/>
    </xf>
    <xf numFmtId="0" fontId="71" fillId="0" borderId="0" xfId="0" applyFont="1" applyAlignment="1" applyProtection="1">
      <alignment horizontal="center" vertical="center" wrapText="1"/>
      <protection locked="0"/>
    </xf>
    <xf numFmtId="0" fontId="17" fillId="13" borderId="50" xfId="0" applyFont="1" applyFill="1" applyBorder="1" applyAlignment="1" applyProtection="1">
      <alignment horizontal="center" vertical="center"/>
      <protection locked="0"/>
    </xf>
    <xf numFmtId="0" fontId="61" fillId="0" borderId="0" xfId="0" applyFont="1" applyAlignment="1" applyProtection="1">
      <alignment horizontal="right" wrapText="1"/>
      <protection locked="0"/>
    </xf>
    <xf numFmtId="0" fontId="61" fillId="0" borderId="23" xfId="0" applyFont="1" applyBorder="1" applyAlignment="1" applyProtection="1">
      <alignment horizontal="right" wrapText="1"/>
      <protection locked="0"/>
    </xf>
    <xf numFmtId="0" fontId="72" fillId="0" borderId="0" xfId="0" applyFont="1" applyAlignment="1" applyProtection="1">
      <alignment horizontal="right"/>
      <protection locked="0"/>
    </xf>
    <xf numFmtId="0" fontId="63" fillId="0" borderId="34" xfId="0" applyFont="1" applyBorder="1" applyAlignment="1" applyProtection="1">
      <alignment vertical="center" wrapText="1"/>
      <protection locked="0"/>
    </xf>
    <xf numFmtId="0" fontId="17" fillId="13" borderId="43" xfId="0" applyFont="1" applyFill="1" applyBorder="1" applyAlignment="1" applyProtection="1">
      <alignment horizontal="center"/>
      <protection locked="0"/>
    </xf>
    <xf numFmtId="0" fontId="17" fillId="13" borderId="44" xfId="0" applyFont="1" applyFill="1" applyBorder="1" applyAlignment="1" applyProtection="1">
      <alignment horizontal="center"/>
      <protection locked="0"/>
    </xf>
    <xf numFmtId="0" fontId="17" fillId="13" borderId="49" xfId="0" applyFont="1" applyFill="1" applyBorder="1" applyAlignment="1" applyProtection="1">
      <alignment horizontal="center"/>
      <protection locked="0"/>
    </xf>
    <xf numFmtId="0" fontId="64" fillId="0" borderId="8" xfId="0" applyFont="1" applyBorder="1" applyAlignment="1" applyProtection="1">
      <alignment horizontal="center" vertical="center"/>
      <protection locked="0"/>
    </xf>
    <xf numFmtId="0" fontId="64" fillId="0" borderId="31" xfId="0" applyFont="1" applyBorder="1" applyAlignment="1" applyProtection="1">
      <alignment horizontal="center" vertical="center"/>
      <protection locked="0"/>
    </xf>
    <xf numFmtId="0" fontId="64" fillId="0" borderId="20" xfId="0" applyFont="1" applyBorder="1" applyAlignment="1" applyProtection="1">
      <alignment horizontal="center" vertical="center"/>
      <protection locked="0"/>
    </xf>
    <xf numFmtId="0" fontId="48" fillId="0" borderId="0" xfId="0" applyFont="1" applyAlignment="1" applyProtection="1">
      <alignment horizontal="center" wrapText="1"/>
      <protection locked="0"/>
    </xf>
    <xf numFmtId="0" fontId="38" fillId="0" borderId="8" xfId="0" applyFont="1" applyBorder="1" applyAlignment="1">
      <alignment horizontal="center" vertical="center"/>
    </xf>
    <xf numFmtId="0" fontId="67" fillId="0" borderId="0" xfId="0" applyFont="1" applyAlignment="1" applyProtection="1">
      <alignment horizontal="right"/>
      <protection locked="0"/>
    </xf>
    <xf numFmtId="0" fontId="64" fillId="0" borderId="17" xfId="0" applyFont="1" applyBorder="1" applyAlignment="1" applyProtection="1">
      <alignment horizontal="left" vertical="center" textRotation="180"/>
      <protection locked="0"/>
    </xf>
    <xf numFmtId="0" fontId="37" fillId="15" borderId="37" xfId="0" applyFont="1" applyFill="1" applyBorder="1" applyAlignment="1" applyProtection="1">
      <alignment horizontal="center" vertical="center" wrapText="1"/>
      <protection locked="0"/>
    </xf>
    <xf numFmtId="0" fontId="37" fillId="15" borderId="0" xfId="0" applyFont="1" applyFill="1" applyAlignment="1" applyProtection="1">
      <alignment horizontal="center" vertical="center" wrapText="1"/>
      <protection locked="0"/>
    </xf>
    <xf numFmtId="0" fontId="64" fillId="0" borderId="17" xfId="0" applyFont="1" applyBorder="1" applyAlignment="1" applyProtection="1">
      <alignment horizontal="left" textRotation="180"/>
      <protection locked="0"/>
    </xf>
    <xf numFmtId="0" fontId="20" fillId="2" borderId="7" xfId="0" applyFont="1" applyFill="1" applyBorder="1" applyAlignment="1" applyProtection="1">
      <alignment horizontal="center"/>
      <protection locked="0"/>
    </xf>
    <xf numFmtId="0" fontId="20" fillId="2" borderId="0" xfId="0" applyFont="1" applyFill="1" applyAlignment="1" applyProtection="1">
      <alignment horizontal="center"/>
      <protection locked="0"/>
    </xf>
    <xf numFmtId="0" fontId="13" fillId="2" borderId="7" xfId="0" applyFont="1" applyFill="1" applyBorder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0" fontId="17" fillId="13" borderId="31" xfId="0" applyFont="1" applyFill="1" applyBorder="1" applyAlignment="1" applyProtection="1">
      <alignment horizontal="center" vertical="center"/>
      <protection locked="0"/>
    </xf>
    <xf numFmtId="0" fontId="84" fillId="0" borderId="8" xfId="0" applyFont="1" applyBorder="1" applyAlignment="1">
      <alignment horizontal="center" vertical="center"/>
    </xf>
    <xf numFmtId="0" fontId="28" fillId="0" borderId="0" xfId="0" applyFont="1" applyAlignment="1" applyProtection="1">
      <alignment horizontal="center" vertical="center"/>
      <protection locked="0"/>
    </xf>
    <xf numFmtId="0" fontId="17" fillId="13" borderId="52" xfId="0" applyFont="1" applyFill="1" applyBorder="1" applyAlignment="1" applyProtection="1">
      <alignment horizontal="center"/>
      <protection locked="0"/>
    </xf>
    <xf numFmtId="0" fontId="17" fillId="13" borderId="53" xfId="0" applyFont="1" applyFill="1" applyBorder="1" applyAlignment="1" applyProtection="1">
      <alignment horizontal="center"/>
      <protection locked="0"/>
    </xf>
    <xf numFmtId="0" fontId="17" fillId="13" borderId="54" xfId="0" applyFont="1" applyFill="1" applyBorder="1" applyAlignment="1" applyProtection="1">
      <alignment horizontal="center"/>
      <protection locked="0"/>
    </xf>
    <xf numFmtId="0" fontId="73" fillId="0" borderId="0" xfId="0" applyFont="1" applyAlignment="1" applyProtection="1">
      <alignment horizontal="right"/>
      <protection locked="0"/>
    </xf>
    <xf numFmtId="0" fontId="78" fillId="2" borderId="35" xfId="0" applyFont="1" applyFill="1" applyBorder="1" applyAlignment="1">
      <alignment horizontal="center" vertical="center"/>
    </xf>
    <xf numFmtId="0" fontId="78" fillId="2" borderId="30" xfId="0" applyFont="1" applyFill="1" applyBorder="1" applyAlignment="1">
      <alignment horizontal="center" vertical="center"/>
    </xf>
    <xf numFmtId="0" fontId="78" fillId="2" borderId="29" xfId="0" applyFont="1" applyFill="1" applyBorder="1" applyAlignment="1">
      <alignment horizontal="center" vertical="center"/>
    </xf>
    <xf numFmtId="0" fontId="46" fillId="0" borderId="8" xfId="0" applyFont="1" applyBorder="1" applyAlignment="1">
      <alignment horizontal="center" vertical="center"/>
    </xf>
    <xf numFmtId="0" fontId="78" fillId="2" borderId="12" xfId="0" applyFont="1" applyFill="1" applyBorder="1" applyAlignment="1">
      <alignment horizontal="center" vertical="center"/>
    </xf>
    <xf numFmtId="0" fontId="78" fillId="2" borderId="8" xfId="0" applyFont="1" applyFill="1" applyBorder="1" applyAlignment="1">
      <alignment horizontal="center" vertical="center"/>
    </xf>
    <xf numFmtId="0" fontId="78" fillId="2" borderId="10" xfId="0" applyFont="1" applyFill="1" applyBorder="1" applyAlignment="1">
      <alignment horizontal="center" vertical="center"/>
    </xf>
    <xf numFmtId="0" fontId="78" fillId="2" borderId="13" xfId="0" applyFont="1" applyFill="1" applyBorder="1" applyAlignment="1">
      <alignment horizontal="center" vertical="center"/>
    </xf>
    <xf numFmtId="0" fontId="38" fillId="2" borderId="10" xfId="0" applyFont="1" applyFill="1" applyBorder="1" applyAlignment="1">
      <alignment horizontal="center" vertical="center"/>
    </xf>
    <xf numFmtId="0" fontId="38" fillId="2" borderId="13" xfId="0" applyFont="1" applyFill="1" applyBorder="1" applyAlignment="1">
      <alignment horizontal="center" vertical="center"/>
    </xf>
    <xf numFmtId="0" fontId="38" fillId="2" borderId="12" xfId="0" applyFont="1" applyFill="1" applyBorder="1" applyAlignment="1">
      <alignment horizontal="center" vertical="center"/>
    </xf>
    <xf numFmtId="0" fontId="53" fillId="0" borderId="8" xfId="0" applyFont="1" applyBorder="1" applyAlignment="1">
      <alignment horizontal="center" vertical="center"/>
    </xf>
    <xf numFmtId="0" fontId="52" fillId="0" borderId="8" xfId="0" applyFont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18" fillId="0" borderId="32" xfId="0" applyFont="1" applyBorder="1" applyAlignment="1" applyProtection="1">
      <alignment vertical="center" wrapText="1"/>
      <protection locked="0"/>
    </xf>
    <xf numFmtId="0" fontId="18" fillId="0" borderId="33" xfId="0" applyFont="1" applyBorder="1" applyAlignment="1" applyProtection="1">
      <alignment vertical="center" wrapText="1"/>
      <protection locked="0"/>
    </xf>
    <xf numFmtId="0" fontId="18" fillId="0" borderId="38" xfId="0" applyFont="1" applyBorder="1" applyAlignment="1" applyProtection="1">
      <alignment vertical="center" wrapText="1"/>
      <protection locked="0"/>
    </xf>
    <xf numFmtId="0" fontId="63" fillId="0" borderId="10" xfId="0" applyFont="1" applyBorder="1" applyAlignment="1" applyProtection="1">
      <alignment vertical="center" wrapText="1"/>
      <protection locked="0"/>
    </xf>
    <xf numFmtId="0" fontId="63" fillId="0" borderId="13" xfId="0" applyFont="1" applyBorder="1" applyAlignment="1" applyProtection="1">
      <alignment vertical="center" wrapText="1"/>
      <protection locked="0"/>
    </xf>
    <xf numFmtId="0" fontId="47" fillId="0" borderId="0" xfId="0" applyFont="1" applyAlignment="1" applyProtection="1">
      <alignment horizontal="center" vertical="center" wrapText="1"/>
      <protection locked="0"/>
    </xf>
    <xf numFmtId="0" fontId="39" fillId="0" borderId="17" xfId="0" applyFont="1" applyBorder="1" applyAlignment="1" applyProtection="1">
      <alignment horizontal="left" vertical="center"/>
      <protection locked="0"/>
    </xf>
    <xf numFmtId="0" fontId="18" fillId="0" borderId="36" xfId="0" applyFont="1" applyBorder="1" applyAlignment="1" applyProtection="1">
      <alignment vertical="center" wrapText="1"/>
      <protection locked="0"/>
    </xf>
    <xf numFmtId="0" fontId="18" fillId="0" borderId="34" xfId="0" applyFont="1" applyBorder="1" applyAlignment="1" applyProtection="1">
      <alignment vertical="center" wrapText="1"/>
      <protection locked="0"/>
    </xf>
    <xf numFmtId="0" fontId="38" fillId="0" borderId="8" xfId="0" applyFont="1" applyBorder="1" applyAlignment="1" applyProtection="1">
      <alignment horizontal="center" vertical="center"/>
      <protection hidden="1"/>
    </xf>
    <xf numFmtId="0" fontId="17" fillId="13" borderId="55" xfId="0" applyFont="1" applyFill="1" applyBorder="1" applyAlignment="1" applyProtection="1">
      <alignment horizontal="center" vertical="center"/>
      <protection locked="0"/>
    </xf>
    <xf numFmtId="0" fontId="17" fillId="13" borderId="51" xfId="0" applyFont="1" applyFill="1" applyBorder="1" applyAlignment="1" applyProtection="1">
      <alignment horizontal="center" vertical="center"/>
      <protection locked="0"/>
    </xf>
    <xf numFmtId="0" fontId="17" fillId="13" borderId="56" xfId="0" applyFont="1" applyFill="1" applyBorder="1" applyAlignment="1" applyProtection="1">
      <alignment horizontal="center" vertical="center"/>
      <protection locked="0"/>
    </xf>
    <xf numFmtId="0" fontId="38" fillId="0" borderId="35" xfId="0" applyFont="1" applyBorder="1" applyAlignment="1" applyProtection="1">
      <alignment horizontal="center" vertical="center"/>
      <protection hidden="1"/>
    </xf>
    <xf numFmtId="0" fontId="38" fillId="0" borderId="30" xfId="0" applyFont="1" applyBorder="1" applyAlignment="1" applyProtection="1">
      <alignment horizontal="center" vertical="center"/>
      <protection hidden="1"/>
    </xf>
    <xf numFmtId="0" fontId="38" fillId="0" borderId="29" xfId="0" applyFont="1" applyBorder="1" applyAlignment="1" applyProtection="1">
      <alignment horizontal="center" vertical="center"/>
      <protection hidden="1"/>
    </xf>
    <xf numFmtId="0" fontId="55" fillId="13" borderId="17" xfId="0" applyFont="1" applyFill="1" applyBorder="1" applyAlignment="1">
      <alignment horizontal="center" vertical="center"/>
    </xf>
    <xf numFmtId="0" fontId="55" fillId="13" borderId="20" xfId="0" applyFont="1" applyFill="1" applyBorder="1" applyAlignment="1">
      <alignment horizontal="center" vertical="center"/>
    </xf>
    <xf numFmtId="0" fontId="18" fillId="16" borderId="16" xfId="0" applyFont="1" applyFill="1" applyBorder="1" applyAlignment="1" applyProtection="1">
      <alignment horizontal="center" vertical="center"/>
      <protection locked="0"/>
    </xf>
    <xf numFmtId="11" fontId="41" fillId="0" borderId="0" xfId="0" applyNumberFormat="1" applyFont="1" applyAlignment="1" applyProtection="1">
      <alignment horizontal="center" vertical="center" wrapText="1"/>
      <protection locked="0"/>
    </xf>
    <xf numFmtId="0" fontId="12" fillId="15" borderId="17" xfId="0" applyFont="1" applyFill="1" applyBorder="1" applyAlignment="1" applyProtection="1">
      <alignment horizontal="center" vertical="center" wrapText="1"/>
      <protection locked="0"/>
    </xf>
    <xf numFmtId="0" fontId="12" fillId="15" borderId="20" xfId="0" applyFont="1" applyFill="1" applyBorder="1" applyAlignment="1" applyProtection="1">
      <alignment horizontal="center" vertical="center" wrapText="1"/>
      <protection locked="0"/>
    </xf>
    <xf numFmtId="0" fontId="17" fillId="13" borderId="61" xfId="0" applyFont="1" applyFill="1" applyBorder="1" applyAlignment="1" applyProtection="1">
      <alignment horizontal="center" vertical="center"/>
      <protection locked="0"/>
    </xf>
    <xf numFmtId="0" fontId="17" fillId="13" borderId="59" xfId="0" applyFont="1" applyFill="1" applyBorder="1" applyAlignment="1" applyProtection="1">
      <alignment horizontal="center" vertical="center"/>
      <protection locked="0"/>
    </xf>
    <xf numFmtId="0" fontId="17" fillId="13" borderId="60" xfId="0" applyFont="1" applyFill="1" applyBorder="1" applyAlignment="1" applyProtection="1">
      <alignment horizontal="center" vertical="center"/>
      <protection locked="0"/>
    </xf>
    <xf numFmtId="0" fontId="29" fillId="0" borderId="0" xfId="0" applyFont="1" applyAlignment="1" applyProtection="1">
      <alignment horizontal="center" wrapText="1"/>
      <protection locked="0"/>
    </xf>
    <xf numFmtId="0" fontId="30" fillId="0" borderId="0" xfId="0" applyFont="1" applyAlignment="1" applyProtection="1">
      <alignment horizontal="center" wrapText="1"/>
      <protection locked="0"/>
    </xf>
    <xf numFmtId="0" fontId="28" fillId="2" borderId="0" xfId="0" applyFont="1" applyFill="1" applyAlignment="1" applyProtection="1">
      <alignment horizontal="center"/>
      <protection locked="0"/>
    </xf>
    <xf numFmtId="0" fontId="13" fillId="13" borderId="17" xfId="0" applyFont="1" applyFill="1" applyBorder="1" applyAlignment="1" applyProtection="1">
      <alignment horizontal="center"/>
      <protection locked="0"/>
    </xf>
    <xf numFmtId="0" fontId="13" fillId="13" borderId="20" xfId="0" applyFont="1" applyFill="1" applyBorder="1" applyAlignment="1" applyProtection="1">
      <alignment horizontal="center"/>
      <protection locked="0"/>
    </xf>
    <xf numFmtId="0" fontId="18" fillId="0" borderId="1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23" fillId="0" borderId="17" xfId="0" applyFont="1" applyBorder="1" applyAlignment="1" applyProtection="1">
      <alignment horizontal="left" textRotation="180"/>
      <protection locked="0"/>
    </xf>
    <xf numFmtId="0" fontId="15" fillId="0" borderId="35" xfId="0" applyFont="1" applyBorder="1" applyAlignment="1" applyProtection="1">
      <alignment vertical="center" wrapText="1"/>
      <protection locked="0"/>
    </xf>
    <xf numFmtId="0" fontId="15" fillId="0" borderId="29" xfId="0" applyFont="1" applyBorder="1" applyAlignment="1" applyProtection="1">
      <alignment vertical="center" wrapText="1"/>
      <protection locked="0"/>
    </xf>
    <xf numFmtId="0" fontId="15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23" fillId="0" borderId="17" xfId="0" applyFont="1" applyBorder="1" applyAlignment="1" applyProtection="1">
      <alignment horizontal="left" vertical="center" textRotation="180"/>
      <protection locked="0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/>
    <xf numFmtId="0" fontId="15" fillId="0" borderId="30" xfId="0" applyFont="1" applyBorder="1" applyAlignment="1" applyProtection="1">
      <alignment vertical="center" wrapText="1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2" fillId="15" borderId="16" xfId="0" applyFont="1" applyFill="1" applyBorder="1" applyAlignment="1" applyProtection="1">
      <alignment horizontal="center" vertical="center" wrapText="1"/>
      <protection locked="0"/>
    </xf>
    <xf numFmtId="0" fontId="28" fillId="0" borderId="0" xfId="0" applyFont="1" applyAlignment="1" applyProtection="1">
      <alignment horizontal="center"/>
      <protection locked="0"/>
    </xf>
    <xf numFmtId="0" fontId="15" fillId="0" borderId="36" xfId="0" applyFont="1" applyBorder="1" applyAlignment="1" applyProtection="1">
      <alignment vertical="center" wrapText="1"/>
      <protection locked="0"/>
    </xf>
    <xf numFmtId="0" fontId="18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13" borderId="18" xfId="0" applyFont="1" applyFill="1" applyBorder="1" applyAlignment="1" applyProtection="1">
      <alignment horizontal="center"/>
      <protection locked="0"/>
    </xf>
    <xf numFmtId="0" fontId="15" fillId="0" borderId="19" xfId="0" applyFont="1" applyBorder="1" applyAlignment="1" applyProtection="1">
      <alignment vertical="center" wrapText="1"/>
      <protection locked="0"/>
    </xf>
    <xf numFmtId="0" fontId="15" fillId="0" borderId="11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3" fillId="0" borderId="9" xfId="0" applyFont="1" applyBorder="1" applyAlignment="1" applyProtection="1">
      <alignment horizontal="center" vertical="center"/>
      <protection locked="0"/>
    </xf>
    <xf numFmtId="0" fontId="15" fillId="0" borderId="15" xfId="0" applyFont="1" applyBorder="1" applyAlignment="1">
      <alignment horizontal="center" vertical="center"/>
    </xf>
    <xf numFmtId="0" fontId="15" fillId="0" borderId="14" xfId="0" applyFont="1" applyBorder="1"/>
    <xf numFmtId="0" fontId="18" fillId="0" borderId="19" xfId="0" applyFont="1" applyBorder="1" applyAlignment="1" applyProtection="1">
      <alignment vertical="center" wrapText="1"/>
      <protection locked="0"/>
    </xf>
    <xf numFmtId="0" fontId="12" fillId="15" borderId="0" xfId="0" applyFont="1" applyFill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58" fillId="22" borderId="16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EAEAEA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48" Type="http://schemas.microsoft.com/office/2006/relationships/vbaProject" Target="vbaProject.bin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3.png"/><Relationship Id="rId1" Type="http://schemas.openxmlformats.org/officeDocument/2006/relationships/image" Target="../media/image4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3.png"/><Relationship Id="rId1" Type="http://schemas.openxmlformats.org/officeDocument/2006/relationships/image" Target="../media/image4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5.png"/><Relationship Id="rId1" Type="http://schemas.openxmlformats.org/officeDocument/2006/relationships/image" Target="../media/image4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3.png"/><Relationship Id="rId1" Type="http://schemas.openxmlformats.org/officeDocument/2006/relationships/image" Target="../media/image4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3.png"/><Relationship Id="rId1" Type="http://schemas.openxmlformats.org/officeDocument/2006/relationships/image" Target="../media/image4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3.png"/><Relationship Id="rId1" Type="http://schemas.openxmlformats.org/officeDocument/2006/relationships/image" Target="../media/image4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6.png"/><Relationship Id="rId1" Type="http://schemas.openxmlformats.org/officeDocument/2006/relationships/image" Target="../media/image4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6.png"/><Relationship Id="rId1" Type="http://schemas.openxmlformats.org/officeDocument/2006/relationships/image" Target="../media/image44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3.png"/><Relationship Id="rId1" Type="http://schemas.openxmlformats.org/officeDocument/2006/relationships/image" Target="../media/image4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3.png"/><Relationship Id="rId1" Type="http://schemas.openxmlformats.org/officeDocument/2006/relationships/image" Target="../media/image4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3.png"/><Relationship Id="rId1" Type="http://schemas.openxmlformats.org/officeDocument/2006/relationships/image" Target="../media/image44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3.png"/><Relationship Id="rId1" Type="http://schemas.openxmlformats.org/officeDocument/2006/relationships/image" Target="../media/image44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3.png"/><Relationship Id="rId1" Type="http://schemas.openxmlformats.org/officeDocument/2006/relationships/image" Target="../media/image44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3.png"/><Relationship Id="rId1" Type="http://schemas.openxmlformats.org/officeDocument/2006/relationships/image" Target="../media/image44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3.png"/><Relationship Id="rId1" Type="http://schemas.openxmlformats.org/officeDocument/2006/relationships/image" Target="../media/image47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3.png"/><Relationship Id="rId1" Type="http://schemas.openxmlformats.org/officeDocument/2006/relationships/image" Target="../media/image44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3.png"/><Relationship Id="rId1" Type="http://schemas.openxmlformats.org/officeDocument/2006/relationships/image" Target="../media/image44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3.png"/><Relationship Id="rId1" Type="http://schemas.openxmlformats.org/officeDocument/2006/relationships/image" Target="../media/image44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3.png"/><Relationship Id="rId1" Type="http://schemas.openxmlformats.org/officeDocument/2006/relationships/image" Target="../media/image44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3.png"/><Relationship Id="rId1" Type="http://schemas.openxmlformats.org/officeDocument/2006/relationships/image" Target="../media/image48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8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8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3.png"/><Relationship Id="rId1" Type="http://schemas.openxmlformats.org/officeDocument/2006/relationships/image" Target="../media/image48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5.png"/><Relationship Id="rId1" Type="http://schemas.openxmlformats.org/officeDocument/2006/relationships/image" Target="../media/image49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3.png"/><Relationship Id="rId1" Type="http://schemas.openxmlformats.org/officeDocument/2006/relationships/image" Target="../media/image50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3.png"/><Relationship Id="rId1" Type="http://schemas.openxmlformats.org/officeDocument/2006/relationships/image" Target="../media/image50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png"/></Relationships>
</file>

<file path=xl/drawings/_rels/vmlDrawing1.v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9" Type="http://schemas.openxmlformats.org/officeDocument/2006/relationships/image" Target="../media/image39.emf"/><Relationship Id="rId21" Type="http://schemas.openxmlformats.org/officeDocument/2006/relationships/image" Target="../media/image21.emf"/><Relationship Id="rId34" Type="http://schemas.openxmlformats.org/officeDocument/2006/relationships/image" Target="../media/image34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29" Type="http://schemas.openxmlformats.org/officeDocument/2006/relationships/image" Target="../media/image29.emf"/><Relationship Id="rId41" Type="http://schemas.openxmlformats.org/officeDocument/2006/relationships/image" Target="../media/image41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40" Type="http://schemas.openxmlformats.org/officeDocument/2006/relationships/image" Target="../media/image40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36" Type="http://schemas.openxmlformats.org/officeDocument/2006/relationships/image" Target="../media/image36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31" Type="http://schemas.openxmlformats.org/officeDocument/2006/relationships/image" Target="../media/image31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0</xdr:colOff>
          <xdr:row>8</xdr:row>
          <xdr:rowOff>220980</xdr:rowOff>
        </xdr:from>
        <xdr:to>
          <xdr:col>36</xdr:col>
          <xdr:colOff>60960</xdr:colOff>
          <xdr:row>10</xdr:row>
          <xdr:rowOff>0</xdr:rowOff>
        </xdr:to>
        <xdr:sp macro="" textlink="">
          <xdr:nvSpPr>
            <xdr:cNvPr id="2056" name="CommandButton1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7620</xdr:colOff>
          <xdr:row>10</xdr:row>
          <xdr:rowOff>7620</xdr:rowOff>
        </xdr:from>
        <xdr:to>
          <xdr:col>36</xdr:col>
          <xdr:colOff>76200</xdr:colOff>
          <xdr:row>11</xdr:row>
          <xdr:rowOff>38100</xdr:rowOff>
        </xdr:to>
        <xdr:sp macro="" textlink="">
          <xdr:nvSpPr>
            <xdr:cNvPr id="2057" name="CommandButton2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7620</xdr:colOff>
          <xdr:row>10</xdr:row>
          <xdr:rowOff>312420</xdr:rowOff>
        </xdr:from>
        <xdr:to>
          <xdr:col>36</xdr:col>
          <xdr:colOff>76200</xdr:colOff>
          <xdr:row>12</xdr:row>
          <xdr:rowOff>7620</xdr:rowOff>
        </xdr:to>
        <xdr:sp macro="" textlink="">
          <xdr:nvSpPr>
            <xdr:cNvPr id="2058" name="CommandButton3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7620</xdr:colOff>
          <xdr:row>12</xdr:row>
          <xdr:rowOff>0</xdr:rowOff>
        </xdr:from>
        <xdr:to>
          <xdr:col>35</xdr:col>
          <xdr:colOff>784860</xdr:colOff>
          <xdr:row>12</xdr:row>
          <xdr:rowOff>297180</xdr:rowOff>
        </xdr:to>
        <xdr:sp macro="" textlink="">
          <xdr:nvSpPr>
            <xdr:cNvPr id="2070" name="CommandButton4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0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7620</xdr:colOff>
          <xdr:row>12</xdr:row>
          <xdr:rowOff>297180</xdr:rowOff>
        </xdr:from>
        <xdr:to>
          <xdr:col>36</xdr:col>
          <xdr:colOff>99060</xdr:colOff>
          <xdr:row>13</xdr:row>
          <xdr:rowOff>297180</xdr:rowOff>
        </xdr:to>
        <xdr:sp macro="" textlink="">
          <xdr:nvSpPr>
            <xdr:cNvPr id="2072" name="CommandButton5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0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7620</xdr:colOff>
          <xdr:row>14</xdr:row>
          <xdr:rowOff>0</xdr:rowOff>
        </xdr:from>
        <xdr:to>
          <xdr:col>36</xdr:col>
          <xdr:colOff>83820</xdr:colOff>
          <xdr:row>14</xdr:row>
          <xdr:rowOff>274320</xdr:rowOff>
        </xdr:to>
        <xdr:sp macro="" textlink="">
          <xdr:nvSpPr>
            <xdr:cNvPr id="2073" name="CommandButton6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7620</xdr:colOff>
          <xdr:row>14</xdr:row>
          <xdr:rowOff>274320</xdr:rowOff>
        </xdr:from>
        <xdr:to>
          <xdr:col>36</xdr:col>
          <xdr:colOff>83820</xdr:colOff>
          <xdr:row>15</xdr:row>
          <xdr:rowOff>266700</xdr:rowOff>
        </xdr:to>
        <xdr:sp macro="" textlink="">
          <xdr:nvSpPr>
            <xdr:cNvPr id="2076" name="CommandButton7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0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7620</xdr:colOff>
          <xdr:row>15</xdr:row>
          <xdr:rowOff>274320</xdr:rowOff>
        </xdr:from>
        <xdr:to>
          <xdr:col>36</xdr:col>
          <xdr:colOff>83820</xdr:colOff>
          <xdr:row>16</xdr:row>
          <xdr:rowOff>236220</xdr:rowOff>
        </xdr:to>
        <xdr:sp macro="" textlink="">
          <xdr:nvSpPr>
            <xdr:cNvPr id="2077" name="CommandButton8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0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7620</xdr:colOff>
          <xdr:row>16</xdr:row>
          <xdr:rowOff>259080</xdr:rowOff>
        </xdr:from>
        <xdr:to>
          <xdr:col>36</xdr:col>
          <xdr:colOff>83820</xdr:colOff>
          <xdr:row>17</xdr:row>
          <xdr:rowOff>220980</xdr:rowOff>
        </xdr:to>
        <xdr:sp macro="" textlink="">
          <xdr:nvSpPr>
            <xdr:cNvPr id="2078" name="CommandButton9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0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723900</xdr:colOff>
          <xdr:row>17</xdr:row>
          <xdr:rowOff>228600</xdr:rowOff>
        </xdr:from>
        <xdr:to>
          <xdr:col>36</xdr:col>
          <xdr:colOff>106680</xdr:colOff>
          <xdr:row>18</xdr:row>
          <xdr:rowOff>297180</xdr:rowOff>
        </xdr:to>
        <xdr:sp macro="" textlink="">
          <xdr:nvSpPr>
            <xdr:cNvPr id="2079" name="CommandButton10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0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0</xdr:colOff>
          <xdr:row>18</xdr:row>
          <xdr:rowOff>289560</xdr:rowOff>
        </xdr:from>
        <xdr:to>
          <xdr:col>36</xdr:col>
          <xdr:colOff>121920</xdr:colOff>
          <xdr:row>20</xdr:row>
          <xdr:rowOff>30480</xdr:rowOff>
        </xdr:to>
        <xdr:sp macro="" textlink="">
          <xdr:nvSpPr>
            <xdr:cNvPr id="2080" name="CommandButton11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0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7620</xdr:colOff>
          <xdr:row>20</xdr:row>
          <xdr:rowOff>0</xdr:rowOff>
        </xdr:from>
        <xdr:to>
          <xdr:col>36</xdr:col>
          <xdr:colOff>106680</xdr:colOff>
          <xdr:row>21</xdr:row>
          <xdr:rowOff>7620</xdr:rowOff>
        </xdr:to>
        <xdr:sp macro="" textlink="">
          <xdr:nvSpPr>
            <xdr:cNvPr id="2081" name="CommandButton12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0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7620</xdr:colOff>
          <xdr:row>21</xdr:row>
          <xdr:rowOff>22860</xdr:rowOff>
        </xdr:from>
        <xdr:to>
          <xdr:col>36</xdr:col>
          <xdr:colOff>45720</xdr:colOff>
          <xdr:row>21</xdr:row>
          <xdr:rowOff>274320</xdr:rowOff>
        </xdr:to>
        <xdr:sp macro="" textlink="">
          <xdr:nvSpPr>
            <xdr:cNvPr id="2082" name="CommandButton13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0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7620</xdr:colOff>
          <xdr:row>21</xdr:row>
          <xdr:rowOff>274320</xdr:rowOff>
        </xdr:from>
        <xdr:to>
          <xdr:col>36</xdr:col>
          <xdr:colOff>45720</xdr:colOff>
          <xdr:row>23</xdr:row>
          <xdr:rowOff>259080</xdr:rowOff>
        </xdr:to>
        <xdr:sp macro="" textlink="">
          <xdr:nvSpPr>
            <xdr:cNvPr id="2083" name="CommandButton14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0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22860</xdr:colOff>
          <xdr:row>26</xdr:row>
          <xdr:rowOff>0</xdr:rowOff>
        </xdr:from>
        <xdr:to>
          <xdr:col>36</xdr:col>
          <xdr:colOff>76200</xdr:colOff>
          <xdr:row>27</xdr:row>
          <xdr:rowOff>30480</xdr:rowOff>
        </xdr:to>
        <xdr:sp macro="" textlink="">
          <xdr:nvSpPr>
            <xdr:cNvPr id="2084" name="CommandButton15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0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7620</xdr:colOff>
          <xdr:row>25</xdr:row>
          <xdr:rowOff>0</xdr:rowOff>
        </xdr:from>
        <xdr:to>
          <xdr:col>36</xdr:col>
          <xdr:colOff>76200</xdr:colOff>
          <xdr:row>26</xdr:row>
          <xdr:rowOff>0</xdr:rowOff>
        </xdr:to>
        <xdr:sp macro="" textlink="">
          <xdr:nvSpPr>
            <xdr:cNvPr id="2085" name="CommandButton16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0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7620</xdr:colOff>
          <xdr:row>27</xdr:row>
          <xdr:rowOff>7620</xdr:rowOff>
        </xdr:from>
        <xdr:to>
          <xdr:col>36</xdr:col>
          <xdr:colOff>83820</xdr:colOff>
          <xdr:row>28</xdr:row>
          <xdr:rowOff>38100</xdr:rowOff>
        </xdr:to>
        <xdr:sp macro="" textlink="">
          <xdr:nvSpPr>
            <xdr:cNvPr id="2086" name="CommandButton17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0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731520</xdr:colOff>
          <xdr:row>23</xdr:row>
          <xdr:rowOff>259080</xdr:rowOff>
        </xdr:from>
        <xdr:to>
          <xdr:col>36</xdr:col>
          <xdr:colOff>76200</xdr:colOff>
          <xdr:row>24</xdr:row>
          <xdr:rowOff>289560</xdr:rowOff>
        </xdr:to>
        <xdr:sp macro="" textlink="">
          <xdr:nvSpPr>
            <xdr:cNvPr id="2087" name="CommandButton18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0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7620</xdr:colOff>
          <xdr:row>22</xdr:row>
          <xdr:rowOff>259080</xdr:rowOff>
        </xdr:from>
        <xdr:to>
          <xdr:col>36</xdr:col>
          <xdr:colOff>106680</xdr:colOff>
          <xdr:row>24</xdr:row>
          <xdr:rowOff>7620</xdr:rowOff>
        </xdr:to>
        <xdr:sp macro="" textlink="">
          <xdr:nvSpPr>
            <xdr:cNvPr id="2088" name="CommandButton19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0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7620</xdr:colOff>
          <xdr:row>29</xdr:row>
          <xdr:rowOff>0</xdr:rowOff>
        </xdr:from>
        <xdr:to>
          <xdr:col>36</xdr:col>
          <xdr:colOff>60960</xdr:colOff>
          <xdr:row>30</xdr:row>
          <xdr:rowOff>0</xdr:rowOff>
        </xdr:to>
        <xdr:sp macro="" textlink="">
          <xdr:nvSpPr>
            <xdr:cNvPr id="2089" name="CommandButton20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0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7620</xdr:colOff>
          <xdr:row>28</xdr:row>
          <xdr:rowOff>0</xdr:rowOff>
        </xdr:from>
        <xdr:to>
          <xdr:col>36</xdr:col>
          <xdr:colOff>99060</xdr:colOff>
          <xdr:row>29</xdr:row>
          <xdr:rowOff>30480</xdr:rowOff>
        </xdr:to>
        <xdr:sp macro="" textlink="">
          <xdr:nvSpPr>
            <xdr:cNvPr id="2090" name="CommandButton21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0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30480</xdr:colOff>
          <xdr:row>30</xdr:row>
          <xdr:rowOff>7620</xdr:rowOff>
        </xdr:from>
        <xdr:to>
          <xdr:col>36</xdr:col>
          <xdr:colOff>83820</xdr:colOff>
          <xdr:row>31</xdr:row>
          <xdr:rowOff>7620</xdr:rowOff>
        </xdr:to>
        <xdr:sp macro="" textlink="">
          <xdr:nvSpPr>
            <xdr:cNvPr id="2091" name="CommandButton22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0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22860</xdr:colOff>
          <xdr:row>31</xdr:row>
          <xdr:rowOff>0</xdr:rowOff>
        </xdr:from>
        <xdr:to>
          <xdr:col>36</xdr:col>
          <xdr:colOff>76200</xdr:colOff>
          <xdr:row>31</xdr:row>
          <xdr:rowOff>297180</xdr:rowOff>
        </xdr:to>
        <xdr:sp macro="" textlink="">
          <xdr:nvSpPr>
            <xdr:cNvPr id="2092" name="CommandButton23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0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7620</xdr:colOff>
          <xdr:row>42</xdr:row>
          <xdr:rowOff>22860</xdr:rowOff>
        </xdr:from>
        <xdr:to>
          <xdr:col>36</xdr:col>
          <xdr:colOff>121920</xdr:colOff>
          <xdr:row>43</xdr:row>
          <xdr:rowOff>38100</xdr:rowOff>
        </xdr:to>
        <xdr:sp macro="" textlink="">
          <xdr:nvSpPr>
            <xdr:cNvPr id="2094" name="CommandButton25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0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0</xdr:colOff>
          <xdr:row>33</xdr:row>
          <xdr:rowOff>304800</xdr:rowOff>
        </xdr:from>
        <xdr:to>
          <xdr:col>36</xdr:col>
          <xdr:colOff>99060</xdr:colOff>
          <xdr:row>35</xdr:row>
          <xdr:rowOff>30480</xdr:rowOff>
        </xdr:to>
        <xdr:sp macro="" textlink="">
          <xdr:nvSpPr>
            <xdr:cNvPr id="2095" name="CommandButton26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0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7620</xdr:colOff>
          <xdr:row>43</xdr:row>
          <xdr:rowOff>0</xdr:rowOff>
        </xdr:from>
        <xdr:to>
          <xdr:col>36</xdr:col>
          <xdr:colOff>45720</xdr:colOff>
          <xdr:row>44</xdr:row>
          <xdr:rowOff>121920</xdr:rowOff>
        </xdr:to>
        <xdr:sp macro="" textlink="">
          <xdr:nvSpPr>
            <xdr:cNvPr id="2096" name="CommandButton27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0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0</xdr:colOff>
          <xdr:row>32</xdr:row>
          <xdr:rowOff>0</xdr:rowOff>
        </xdr:from>
        <xdr:to>
          <xdr:col>36</xdr:col>
          <xdr:colOff>83820</xdr:colOff>
          <xdr:row>33</xdr:row>
          <xdr:rowOff>7620</xdr:rowOff>
        </xdr:to>
        <xdr:sp macro="" textlink="">
          <xdr:nvSpPr>
            <xdr:cNvPr id="2097" name="CommandButton28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0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7620</xdr:colOff>
          <xdr:row>35</xdr:row>
          <xdr:rowOff>22860</xdr:rowOff>
        </xdr:from>
        <xdr:to>
          <xdr:col>36</xdr:col>
          <xdr:colOff>30480</xdr:colOff>
          <xdr:row>36</xdr:row>
          <xdr:rowOff>7620</xdr:rowOff>
        </xdr:to>
        <xdr:sp macro="" textlink="">
          <xdr:nvSpPr>
            <xdr:cNvPr id="2099" name="CommandButton30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0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0</xdr:colOff>
          <xdr:row>33</xdr:row>
          <xdr:rowOff>7620</xdr:rowOff>
        </xdr:from>
        <xdr:to>
          <xdr:col>36</xdr:col>
          <xdr:colOff>99060</xdr:colOff>
          <xdr:row>34</xdr:row>
          <xdr:rowOff>38100</xdr:rowOff>
        </xdr:to>
        <xdr:sp macro="" textlink="">
          <xdr:nvSpPr>
            <xdr:cNvPr id="2101" name="CommandButton32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0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0</xdr:colOff>
          <xdr:row>39</xdr:row>
          <xdr:rowOff>304800</xdr:rowOff>
        </xdr:from>
        <xdr:to>
          <xdr:col>36</xdr:col>
          <xdr:colOff>22860</xdr:colOff>
          <xdr:row>41</xdr:row>
          <xdr:rowOff>15240</xdr:rowOff>
        </xdr:to>
        <xdr:sp macro="" textlink="">
          <xdr:nvSpPr>
            <xdr:cNvPr id="2103" name="CommandButton34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0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0</xdr:colOff>
          <xdr:row>41</xdr:row>
          <xdr:rowOff>22860</xdr:rowOff>
        </xdr:from>
        <xdr:to>
          <xdr:col>36</xdr:col>
          <xdr:colOff>121920</xdr:colOff>
          <xdr:row>42</xdr:row>
          <xdr:rowOff>30480</xdr:rowOff>
        </xdr:to>
        <xdr:sp macro="" textlink="">
          <xdr:nvSpPr>
            <xdr:cNvPr id="2105" name="CommandButton36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0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22860</xdr:colOff>
          <xdr:row>39</xdr:row>
          <xdr:rowOff>0</xdr:rowOff>
        </xdr:from>
        <xdr:to>
          <xdr:col>36</xdr:col>
          <xdr:colOff>83820</xdr:colOff>
          <xdr:row>40</xdr:row>
          <xdr:rowOff>7620</xdr:rowOff>
        </xdr:to>
        <xdr:sp macro="" textlink="">
          <xdr:nvSpPr>
            <xdr:cNvPr id="2107" name="CommandButton38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0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769620</xdr:colOff>
          <xdr:row>36</xdr:row>
          <xdr:rowOff>7620</xdr:rowOff>
        </xdr:from>
        <xdr:to>
          <xdr:col>36</xdr:col>
          <xdr:colOff>83820</xdr:colOff>
          <xdr:row>37</xdr:row>
          <xdr:rowOff>0</xdr:rowOff>
        </xdr:to>
        <xdr:sp macro="" textlink="">
          <xdr:nvSpPr>
            <xdr:cNvPr id="2109" name="CommandButton40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0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754380</xdr:colOff>
          <xdr:row>37</xdr:row>
          <xdr:rowOff>7620</xdr:rowOff>
        </xdr:from>
        <xdr:to>
          <xdr:col>36</xdr:col>
          <xdr:colOff>99060</xdr:colOff>
          <xdr:row>38</xdr:row>
          <xdr:rowOff>0</xdr:rowOff>
        </xdr:to>
        <xdr:sp macro="" textlink="">
          <xdr:nvSpPr>
            <xdr:cNvPr id="2111" name="CommandButton42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0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0</xdr:colOff>
          <xdr:row>38</xdr:row>
          <xdr:rowOff>30480</xdr:rowOff>
        </xdr:from>
        <xdr:to>
          <xdr:col>36</xdr:col>
          <xdr:colOff>83820</xdr:colOff>
          <xdr:row>39</xdr:row>
          <xdr:rowOff>38100</xdr:rowOff>
        </xdr:to>
        <xdr:sp macro="" textlink="">
          <xdr:nvSpPr>
            <xdr:cNvPr id="2113" name="CommandButton44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0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784860</xdr:colOff>
          <xdr:row>43</xdr:row>
          <xdr:rowOff>0</xdr:rowOff>
        </xdr:from>
        <xdr:to>
          <xdr:col>36</xdr:col>
          <xdr:colOff>99060</xdr:colOff>
          <xdr:row>44</xdr:row>
          <xdr:rowOff>137160</xdr:rowOff>
        </xdr:to>
        <xdr:sp macro="" textlink="">
          <xdr:nvSpPr>
            <xdr:cNvPr id="2115" name="CommandButton46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0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7620</xdr:colOff>
          <xdr:row>43</xdr:row>
          <xdr:rowOff>0</xdr:rowOff>
        </xdr:from>
        <xdr:to>
          <xdr:col>36</xdr:col>
          <xdr:colOff>45720</xdr:colOff>
          <xdr:row>44</xdr:row>
          <xdr:rowOff>160020</xdr:rowOff>
        </xdr:to>
        <xdr:sp macro="" textlink="">
          <xdr:nvSpPr>
            <xdr:cNvPr id="2116" name="CommandButton47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0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7620</xdr:colOff>
          <xdr:row>43</xdr:row>
          <xdr:rowOff>0</xdr:rowOff>
        </xdr:from>
        <xdr:to>
          <xdr:col>36</xdr:col>
          <xdr:colOff>121920</xdr:colOff>
          <xdr:row>44</xdr:row>
          <xdr:rowOff>121920</xdr:rowOff>
        </xdr:to>
        <xdr:sp macro="" textlink="">
          <xdr:nvSpPr>
            <xdr:cNvPr id="2117" name="CommandButton48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0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45720</xdr:colOff>
          <xdr:row>43</xdr:row>
          <xdr:rowOff>0</xdr:rowOff>
        </xdr:from>
        <xdr:to>
          <xdr:col>36</xdr:col>
          <xdr:colOff>83820</xdr:colOff>
          <xdr:row>44</xdr:row>
          <xdr:rowOff>144780</xdr:rowOff>
        </xdr:to>
        <xdr:sp macro="" textlink="">
          <xdr:nvSpPr>
            <xdr:cNvPr id="2123" name="CommandButton54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0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0</xdr:colOff>
          <xdr:row>43</xdr:row>
          <xdr:rowOff>0</xdr:rowOff>
        </xdr:from>
        <xdr:to>
          <xdr:col>36</xdr:col>
          <xdr:colOff>38100</xdr:colOff>
          <xdr:row>44</xdr:row>
          <xdr:rowOff>121920</xdr:rowOff>
        </xdr:to>
        <xdr:sp macro="" textlink="">
          <xdr:nvSpPr>
            <xdr:cNvPr id="2124" name="CommandButton55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0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7620</xdr:colOff>
          <xdr:row>43</xdr:row>
          <xdr:rowOff>0</xdr:rowOff>
        </xdr:from>
        <xdr:to>
          <xdr:col>36</xdr:col>
          <xdr:colOff>22860</xdr:colOff>
          <xdr:row>44</xdr:row>
          <xdr:rowOff>137160</xdr:rowOff>
        </xdr:to>
        <xdr:sp macro="" textlink="">
          <xdr:nvSpPr>
            <xdr:cNvPr id="2125" name="CommandButton56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0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307879</xdr:colOff>
      <xdr:row>3</xdr:row>
      <xdr:rowOff>186846</xdr:rowOff>
    </xdr:from>
    <xdr:to>
      <xdr:col>3</xdr:col>
      <xdr:colOff>904393</xdr:colOff>
      <xdr:row>8</xdr:row>
      <xdr:rowOff>1923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52" t="10089" r="4158" b="16740"/>
        <a:stretch/>
      </xdr:blipFill>
      <xdr:spPr>
        <a:xfrm>
          <a:off x="307879" y="764119"/>
          <a:ext cx="2309090" cy="775274"/>
        </a:xfrm>
        <a:prstGeom prst="rect">
          <a:avLst/>
        </a:prstGeom>
      </xdr:spPr>
    </xdr:pic>
    <xdr:clientData/>
  </xdr:twoCellAnchor>
  <xdr:twoCellAnchor editAs="oneCell">
    <xdr:from>
      <xdr:col>7</xdr:col>
      <xdr:colOff>238125</xdr:colOff>
      <xdr:row>26</xdr:row>
      <xdr:rowOff>200025</xdr:rowOff>
    </xdr:from>
    <xdr:to>
      <xdr:col>11</xdr:col>
      <xdr:colOff>607543</xdr:colOff>
      <xdr:row>36</xdr:row>
      <xdr:rowOff>84763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43700" y="5229225"/>
          <a:ext cx="2645893" cy="20850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142875</xdr:rowOff>
    </xdr:from>
    <xdr:to>
      <xdr:col>3</xdr:col>
      <xdr:colOff>904586</xdr:colOff>
      <xdr:row>7</xdr:row>
      <xdr:rowOff>161827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714375"/>
          <a:ext cx="2314286" cy="780952"/>
        </a:xfrm>
        <a:prstGeom prst="rect">
          <a:avLst/>
        </a:prstGeom>
      </xdr:spPr>
    </xdr:pic>
    <xdr:clientData/>
  </xdr:twoCellAnchor>
  <xdr:twoCellAnchor editAs="oneCell">
    <xdr:from>
      <xdr:col>7</xdr:col>
      <xdr:colOff>257175</xdr:colOff>
      <xdr:row>26</xdr:row>
      <xdr:rowOff>247650</xdr:rowOff>
    </xdr:from>
    <xdr:to>
      <xdr:col>12</xdr:col>
      <xdr:colOff>7468</xdr:colOff>
      <xdr:row>36</xdr:row>
      <xdr:rowOff>170488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10350" y="5286375"/>
          <a:ext cx="2645893" cy="208501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15848</xdr:colOff>
      <xdr:row>3</xdr:row>
      <xdr:rowOff>101295</xdr:rowOff>
    </xdr:from>
    <xdr:to>
      <xdr:col>3</xdr:col>
      <xdr:colOff>982746</xdr:colOff>
      <xdr:row>7</xdr:row>
      <xdr:rowOff>118450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324" y="667403"/>
          <a:ext cx="2431592" cy="7719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3</xdr:row>
      <xdr:rowOff>152400</xdr:rowOff>
    </xdr:from>
    <xdr:to>
      <xdr:col>3</xdr:col>
      <xdr:colOff>933161</xdr:colOff>
      <xdr:row>7</xdr:row>
      <xdr:rowOff>171352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23900"/>
          <a:ext cx="2314286" cy="780952"/>
        </a:xfrm>
        <a:prstGeom prst="rect">
          <a:avLst/>
        </a:prstGeom>
      </xdr:spPr>
    </xdr:pic>
    <xdr:clientData/>
  </xdr:twoCellAnchor>
  <xdr:twoCellAnchor editAs="oneCell">
    <xdr:from>
      <xdr:col>8</xdr:col>
      <xdr:colOff>327422</xdr:colOff>
      <xdr:row>26</xdr:row>
      <xdr:rowOff>69453</xdr:rowOff>
    </xdr:from>
    <xdr:to>
      <xdr:col>12</xdr:col>
      <xdr:colOff>463081</xdr:colOff>
      <xdr:row>36</xdr:row>
      <xdr:rowOff>60950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52891" y="5208984"/>
          <a:ext cx="2645893" cy="208501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3</xdr:row>
      <xdr:rowOff>161925</xdr:rowOff>
    </xdr:from>
    <xdr:to>
      <xdr:col>3</xdr:col>
      <xdr:colOff>952211</xdr:colOff>
      <xdr:row>7</xdr:row>
      <xdr:rowOff>180877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733425"/>
          <a:ext cx="2438111" cy="780952"/>
        </a:xfrm>
        <a:prstGeom prst="rect">
          <a:avLst/>
        </a:prstGeom>
      </xdr:spPr>
    </xdr:pic>
    <xdr:clientData/>
  </xdr:twoCellAnchor>
  <xdr:twoCellAnchor editAs="oneCell">
    <xdr:from>
      <xdr:col>7</xdr:col>
      <xdr:colOff>486834</xdr:colOff>
      <xdr:row>27</xdr:row>
      <xdr:rowOff>127000</xdr:rowOff>
    </xdr:from>
    <xdr:to>
      <xdr:col>12</xdr:col>
      <xdr:colOff>127060</xdr:colOff>
      <xdr:row>38</xdr:row>
      <xdr:rowOff>31846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42667" y="5270500"/>
          <a:ext cx="2645893" cy="208501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277813</xdr:colOff>
      <xdr:row>3</xdr:row>
      <xdr:rowOff>158750</xdr:rowOff>
    </xdr:from>
    <xdr:to>
      <xdr:col>4</xdr:col>
      <xdr:colOff>46940</xdr:colOff>
      <xdr:row>7</xdr:row>
      <xdr:rowOff>185640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813" y="724297"/>
          <a:ext cx="2438111" cy="780952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26</xdr:row>
      <xdr:rowOff>66675</xdr:rowOff>
    </xdr:from>
    <xdr:to>
      <xdr:col>12</xdr:col>
      <xdr:colOff>397993</xdr:colOff>
      <xdr:row>36</xdr:row>
      <xdr:rowOff>208588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91350" y="5172075"/>
          <a:ext cx="2645893" cy="208501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</xdr:row>
      <xdr:rowOff>123825</xdr:rowOff>
    </xdr:from>
    <xdr:to>
      <xdr:col>3</xdr:col>
      <xdr:colOff>1102627</xdr:colOff>
      <xdr:row>7</xdr:row>
      <xdr:rowOff>150715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695325"/>
          <a:ext cx="2636152" cy="788890"/>
        </a:xfrm>
        <a:prstGeom prst="rect">
          <a:avLst/>
        </a:prstGeom>
      </xdr:spPr>
    </xdr:pic>
    <xdr:clientData/>
  </xdr:twoCellAnchor>
  <xdr:twoCellAnchor editAs="oneCell">
    <xdr:from>
      <xdr:col>7</xdr:col>
      <xdr:colOff>277811</xdr:colOff>
      <xdr:row>26</xdr:row>
      <xdr:rowOff>89297</xdr:rowOff>
    </xdr:from>
    <xdr:to>
      <xdr:col>12</xdr:col>
      <xdr:colOff>36439</xdr:colOff>
      <xdr:row>37</xdr:row>
      <xdr:rowOff>51029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06405" y="5089922"/>
          <a:ext cx="2645893" cy="208501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3</xdr:row>
      <xdr:rowOff>123825</xdr:rowOff>
    </xdr:from>
    <xdr:to>
      <xdr:col>3</xdr:col>
      <xdr:colOff>1112152</xdr:colOff>
      <xdr:row>7</xdr:row>
      <xdr:rowOff>150715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695325"/>
          <a:ext cx="2636152" cy="788890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571500</xdr:colOff>
      <xdr:row>27</xdr:row>
      <xdr:rowOff>104776</xdr:rowOff>
    </xdr:from>
    <xdr:to>
      <xdr:col>13</xdr:col>
      <xdr:colOff>96005</xdr:colOff>
      <xdr:row>37</xdr:row>
      <xdr:rowOff>13747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682" t="22527" r="28617" b="21429"/>
        <a:stretch>
          <a:fillRect/>
        </a:stretch>
      </xdr:blipFill>
      <xdr:spPr bwMode="auto">
        <a:xfrm rot="165955">
          <a:off x="7629525" y="5410201"/>
          <a:ext cx="2305805" cy="187112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295276</xdr:colOff>
      <xdr:row>3</xdr:row>
      <xdr:rowOff>142875</xdr:rowOff>
    </xdr:from>
    <xdr:to>
      <xdr:col>4</xdr:col>
      <xdr:colOff>219076</xdr:colOff>
      <xdr:row>7</xdr:row>
      <xdr:rowOff>169765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6" y="714375"/>
          <a:ext cx="2800350" cy="78889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161925</xdr:rowOff>
    </xdr:from>
    <xdr:to>
      <xdr:col>4</xdr:col>
      <xdr:colOff>428625</xdr:colOff>
      <xdr:row>7</xdr:row>
      <xdr:rowOff>188815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733425"/>
          <a:ext cx="2800350" cy="788890"/>
        </a:xfrm>
        <a:prstGeom prst="rect">
          <a:avLst/>
        </a:prstGeom>
      </xdr:spPr>
    </xdr:pic>
    <xdr:clientData/>
  </xdr:twoCellAnchor>
  <xdr:twoCellAnchor editAs="oneCell">
    <xdr:from>
      <xdr:col>8</xdr:col>
      <xdr:colOff>189430</xdr:colOff>
      <xdr:row>27</xdr:row>
      <xdr:rowOff>22222</xdr:rowOff>
    </xdr:from>
    <xdr:to>
      <xdr:col>12</xdr:col>
      <xdr:colOff>374454</xdr:colOff>
      <xdr:row>36</xdr:row>
      <xdr:rowOff>112060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682" t="22527" r="28617" b="21429"/>
        <a:stretch>
          <a:fillRect/>
        </a:stretch>
      </xdr:blipFill>
      <xdr:spPr bwMode="auto">
        <a:xfrm rot="165955">
          <a:off x="7161730" y="5213347"/>
          <a:ext cx="2547224" cy="1956738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3</xdr:row>
      <xdr:rowOff>133350</xdr:rowOff>
    </xdr:from>
    <xdr:to>
      <xdr:col>4</xdr:col>
      <xdr:colOff>266700</xdr:colOff>
      <xdr:row>7</xdr:row>
      <xdr:rowOff>160240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704850"/>
          <a:ext cx="2800350" cy="78889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166858</xdr:rowOff>
    </xdr:from>
    <xdr:to>
      <xdr:col>4</xdr:col>
      <xdr:colOff>38100</xdr:colOff>
      <xdr:row>7</xdr:row>
      <xdr:rowOff>160239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738358"/>
          <a:ext cx="2505075" cy="755381"/>
        </a:xfrm>
        <a:prstGeom prst="rect">
          <a:avLst/>
        </a:prstGeom>
      </xdr:spPr>
    </xdr:pic>
    <xdr:clientData/>
  </xdr:twoCellAnchor>
  <xdr:twoCellAnchor editAs="oneCell">
    <xdr:from>
      <xdr:col>7</xdr:col>
      <xdr:colOff>281862</xdr:colOff>
      <xdr:row>26</xdr:row>
      <xdr:rowOff>126353</xdr:rowOff>
    </xdr:from>
    <xdr:to>
      <xdr:col>11</xdr:col>
      <xdr:colOff>624260</xdr:colOff>
      <xdr:row>36</xdr:row>
      <xdr:rowOff>43942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0" y="5199873"/>
          <a:ext cx="2645893" cy="208501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30337</xdr:colOff>
      <xdr:row>4</xdr:row>
      <xdr:rowOff>63500</xdr:rowOff>
    </xdr:from>
    <xdr:to>
      <xdr:col>3</xdr:col>
      <xdr:colOff>1078807</xdr:colOff>
      <xdr:row>7</xdr:row>
      <xdr:rowOff>169764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9004" y="825500"/>
          <a:ext cx="2590461" cy="677764"/>
        </a:xfrm>
        <a:prstGeom prst="rect">
          <a:avLst/>
        </a:prstGeom>
      </xdr:spPr>
    </xdr:pic>
    <xdr:clientData/>
  </xdr:twoCellAnchor>
  <xdr:twoCellAnchor editAs="oneCell">
    <xdr:from>
      <xdr:col>7</xdr:col>
      <xdr:colOff>370416</xdr:colOff>
      <xdr:row>25</xdr:row>
      <xdr:rowOff>201083</xdr:rowOff>
    </xdr:from>
    <xdr:to>
      <xdr:col>12</xdr:col>
      <xdr:colOff>42393</xdr:colOff>
      <xdr:row>36</xdr:row>
      <xdr:rowOff>105930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41583" y="5111750"/>
          <a:ext cx="2645893" cy="208501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114300</xdr:rowOff>
    </xdr:from>
    <xdr:to>
      <xdr:col>4</xdr:col>
      <xdr:colOff>95250</xdr:colOff>
      <xdr:row>7</xdr:row>
      <xdr:rowOff>141190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685800"/>
          <a:ext cx="2800350" cy="78889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27999</xdr:rowOff>
    </xdr:from>
    <xdr:to>
      <xdr:col>4</xdr:col>
      <xdr:colOff>47625</xdr:colOff>
      <xdr:row>7</xdr:row>
      <xdr:rowOff>160239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89999"/>
          <a:ext cx="2676525" cy="703740"/>
        </a:xfrm>
        <a:prstGeom prst="rect">
          <a:avLst/>
        </a:prstGeom>
      </xdr:spPr>
    </xdr:pic>
    <xdr:clientData/>
  </xdr:twoCellAnchor>
  <xdr:twoCellAnchor editAs="oneCell">
    <xdr:from>
      <xdr:col>7</xdr:col>
      <xdr:colOff>180975</xdr:colOff>
      <xdr:row>27</xdr:row>
      <xdr:rowOff>114300</xdr:rowOff>
    </xdr:from>
    <xdr:to>
      <xdr:col>11</xdr:col>
      <xdr:colOff>559918</xdr:colOff>
      <xdr:row>38</xdr:row>
      <xdr:rowOff>56188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57975" y="5286375"/>
          <a:ext cx="2645893" cy="208501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4</xdr:col>
      <xdr:colOff>83608</xdr:colOff>
      <xdr:row>7</xdr:row>
      <xdr:rowOff>132240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762000"/>
          <a:ext cx="2683933" cy="703740"/>
        </a:xfrm>
        <a:prstGeom prst="rect">
          <a:avLst/>
        </a:prstGeom>
      </xdr:spPr>
    </xdr:pic>
    <xdr:clientData/>
  </xdr:twoCellAnchor>
  <xdr:twoCellAnchor editAs="oneCell">
    <xdr:from>
      <xdr:col>7</xdr:col>
      <xdr:colOff>123825</xdr:colOff>
      <xdr:row>26</xdr:row>
      <xdr:rowOff>104775</xdr:rowOff>
    </xdr:from>
    <xdr:to>
      <xdr:col>11</xdr:col>
      <xdr:colOff>569443</xdr:colOff>
      <xdr:row>36</xdr:row>
      <xdr:rowOff>170488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10350" y="5086350"/>
          <a:ext cx="2645893" cy="208501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276226</xdr:colOff>
      <xdr:row>4</xdr:row>
      <xdr:rowOff>15824</xdr:rowOff>
    </xdr:from>
    <xdr:to>
      <xdr:col>4</xdr:col>
      <xdr:colOff>434286</xdr:colOff>
      <xdr:row>7</xdr:row>
      <xdr:rowOff>142874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6" y="777824"/>
          <a:ext cx="2901260" cy="803325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26</xdr:row>
      <xdr:rowOff>95250</xdr:rowOff>
    </xdr:from>
    <xdr:to>
      <xdr:col>11</xdr:col>
      <xdr:colOff>436093</xdr:colOff>
      <xdr:row>37</xdr:row>
      <xdr:rowOff>37138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00825" y="5305425"/>
          <a:ext cx="2645893" cy="208501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4</xdr:col>
      <xdr:colOff>274108</xdr:colOff>
      <xdr:row>7</xdr:row>
      <xdr:rowOff>132240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762000"/>
          <a:ext cx="2683933" cy="703740"/>
        </a:xfrm>
        <a:prstGeom prst="rect">
          <a:avLst/>
        </a:prstGeom>
      </xdr:spPr>
    </xdr:pic>
    <xdr:clientData/>
  </xdr:twoCellAnchor>
  <xdr:twoCellAnchor editAs="oneCell">
    <xdr:from>
      <xdr:col>6</xdr:col>
      <xdr:colOff>514350</xdr:colOff>
      <xdr:row>26</xdr:row>
      <xdr:rowOff>104775</xdr:rowOff>
    </xdr:from>
    <xdr:to>
      <xdr:col>11</xdr:col>
      <xdr:colOff>407518</xdr:colOff>
      <xdr:row>36</xdr:row>
      <xdr:rowOff>94288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9850" y="5172075"/>
          <a:ext cx="2645893" cy="208501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3</xdr:row>
      <xdr:rowOff>104775</xdr:rowOff>
    </xdr:from>
    <xdr:to>
      <xdr:col>3</xdr:col>
      <xdr:colOff>774586</xdr:colOff>
      <xdr:row>7</xdr:row>
      <xdr:rowOff>161925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676275"/>
          <a:ext cx="2324100" cy="819150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</xdr:colOff>
      <xdr:row>26</xdr:row>
      <xdr:rowOff>171450</xdr:rowOff>
    </xdr:from>
    <xdr:to>
      <xdr:col>11</xdr:col>
      <xdr:colOff>455142</xdr:colOff>
      <xdr:row>36</xdr:row>
      <xdr:rowOff>113338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2250" y="5200650"/>
          <a:ext cx="2645893" cy="208501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28575</xdr:rowOff>
    </xdr:from>
    <xdr:to>
      <xdr:col>4</xdr:col>
      <xdr:colOff>274108</xdr:colOff>
      <xdr:row>7</xdr:row>
      <xdr:rowOff>160815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90575"/>
          <a:ext cx="2683933" cy="70374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4</xdr:row>
      <xdr:rowOff>9524</xdr:rowOff>
    </xdr:from>
    <xdr:to>
      <xdr:col>4</xdr:col>
      <xdr:colOff>158934</xdr:colOff>
      <xdr:row>7</xdr:row>
      <xdr:rowOff>171450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771524"/>
          <a:ext cx="2549709" cy="733426"/>
        </a:xfrm>
        <a:prstGeom prst="rect">
          <a:avLst/>
        </a:prstGeom>
      </xdr:spPr>
    </xdr:pic>
    <xdr:clientData/>
  </xdr:twoCellAnchor>
  <xdr:twoCellAnchor editAs="oneCell">
    <xdr:from>
      <xdr:col>7</xdr:col>
      <xdr:colOff>323850</xdr:colOff>
      <xdr:row>26</xdr:row>
      <xdr:rowOff>228600</xdr:rowOff>
    </xdr:from>
    <xdr:to>
      <xdr:col>11</xdr:col>
      <xdr:colOff>531343</xdr:colOff>
      <xdr:row>36</xdr:row>
      <xdr:rowOff>122863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72275" y="5334000"/>
          <a:ext cx="2645893" cy="208501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</xdr:row>
      <xdr:rowOff>180974</xdr:rowOff>
    </xdr:from>
    <xdr:to>
      <xdr:col>4</xdr:col>
      <xdr:colOff>278999</xdr:colOff>
      <xdr:row>7</xdr:row>
      <xdr:rowOff>171449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752474"/>
          <a:ext cx="2869799" cy="752475"/>
        </a:xfrm>
        <a:prstGeom prst="rect">
          <a:avLst/>
        </a:prstGeom>
      </xdr:spPr>
    </xdr:pic>
    <xdr:clientData/>
  </xdr:twoCellAnchor>
  <xdr:twoCellAnchor editAs="oneCell">
    <xdr:from>
      <xdr:col>6</xdr:col>
      <xdr:colOff>504825</xdr:colOff>
      <xdr:row>26</xdr:row>
      <xdr:rowOff>133350</xdr:rowOff>
    </xdr:from>
    <xdr:to>
      <xdr:col>11</xdr:col>
      <xdr:colOff>302743</xdr:colOff>
      <xdr:row>36</xdr:row>
      <xdr:rowOff>103813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38900" y="5267325"/>
          <a:ext cx="2645893" cy="208501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3</xdr:row>
      <xdr:rowOff>142875</xdr:rowOff>
    </xdr:from>
    <xdr:to>
      <xdr:col>4</xdr:col>
      <xdr:colOff>1</xdr:colOff>
      <xdr:row>7</xdr:row>
      <xdr:rowOff>170340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6" y="714375"/>
          <a:ext cx="2552700" cy="789465"/>
        </a:xfrm>
        <a:prstGeom prst="rect">
          <a:avLst/>
        </a:prstGeom>
      </xdr:spPr>
    </xdr:pic>
    <xdr:clientData/>
  </xdr:twoCellAnchor>
  <xdr:twoCellAnchor editAs="oneCell">
    <xdr:from>
      <xdr:col>7</xdr:col>
      <xdr:colOff>85725</xdr:colOff>
      <xdr:row>26</xdr:row>
      <xdr:rowOff>104775</xdr:rowOff>
    </xdr:from>
    <xdr:to>
      <xdr:col>11</xdr:col>
      <xdr:colOff>521818</xdr:colOff>
      <xdr:row>36</xdr:row>
      <xdr:rowOff>27613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57950" y="5181600"/>
          <a:ext cx="2645893" cy="208501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4</xdr:row>
      <xdr:rowOff>0</xdr:rowOff>
    </xdr:from>
    <xdr:to>
      <xdr:col>4</xdr:col>
      <xdr:colOff>180976</xdr:colOff>
      <xdr:row>7</xdr:row>
      <xdr:rowOff>138520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1" y="762000"/>
          <a:ext cx="2762250" cy="710020"/>
        </a:xfrm>
        <a:prstGeom prst="rect">
          <a:avLst/>
        </a:prstGeom>
      </xdr:spPr>
    </xdr:pic>
    <xdr:clientData/>
  </xdr:twoCellAnchor>
  <xdr:twoCellAnchor editAs="oneCell">
    <xdr:from>
      <xdr:col>6</xdr:col>
      <xdr:colOff>438150</xdr:colOff>
      <xdr:row>26</xdr:row>
      <xdr:rowOff>85725</xdr:rowOff>
    </xdr:from>
    <xdr:to>
      <xdr:col>11</xdr:col>
      <xdr:colOff>255118</xdr:colOff>
      <xdr:row>36</xdr:row>
      <xdr:rowOff>27613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62700" y="5143500"/>
          <a:ext cx="2645893" cy="208501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158750</xdr:rowOff>
    </xdr:from>
    <xdr:to>
      <xdr:col>4</xdr:col>
      <xdr:colOff>179394</xdr:colOff>
      <xdr:row>7</xdr:row>
      <xdr:rowOff>169333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667" y="730250"/>
          <a:ext cx="2761727" cy="772583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25</xdr:row>
      <xdr:rowOff>211666</xdr:rowOff>
    </xdr:from>
    <xdr:to>
      <xdr:col>11</xdr:col>
      <xdr:colOff>302743</xdr:colOff>
      <xdr:row>35</xdr:row>
      <xdr:rowOff>106988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86525" y="5193241"/>
          <a:ext cx="2645893" cy="2067022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4</xdr:col>
      <xdr:colOff>132827</xdr:colOff>
      <xdr:row>7</xdr:row>
      <xdr:rowOff>135697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762000"/>
          <a:ext cx="2761727" cy="707197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4</xdr:col>
      <xdr:colOff>323327</xdr:colOff>
      <xdr:row>7</xdr:row>
      <xdr:rowOff>135697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762000"/>
          <a:ext cx="2761727" cy="707197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4</xdr:row>
      <xdr:rowOff>38100</xdr:rowOff>
    </xdr:from>
    <xdr:to>
      <xdr:col>4</xdr:col>
      <xdr:colOff>132827</xdr:colOff>
      <xdr:row>7</xdr:row>
      <xdr:rowOff>173797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800100"/>
          <a:ext cx="2752202" cy="707197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209550</xdr:colOff>
      <xdr:row>26</xdr:row>
      <xdr:rowOff>9525</xdr:rowOff>
    </xdr:from>
    <xdr:to>
      <xdr:col>11</xdr:col>
      <xdr:colOff>197968</xdr:colOff>
      <xdr:row>35</xdr:row>
      <xdr:rowOff>185728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43625" y="5153025"/>
          <a:ext cx="2645893" cy="208501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209101</xdr:colOff>
      <xdr:row>3</xdr:row>
      <xdr:rowOff>95250</xdr:rowOff>
    </xdr:from>
    <xdr:to>
      <xdr:col>3</xdr:col>
      <xdr:colOff>775244</xdr:colOff>
      <xdr:row>7</xdr:row>
      <xdr:rowOff>146050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101" y="647700"/>
          <a:ext cx="2509243" cy="787400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476250</xdr:colOff>
      <xdr:row>26</xdr:row>
      <xdr:rowOff>200025</xdr:rowOff>
    </xdr:from>
    <xdr:to>
      <xdr:col>12</xdr:col>
      <xdr:colOff>388468</xdr:colOff>
      <xdr:row>37</xdr:row>
      <xdr:rowOff>65713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05625" y="5381625"/>
          <a:ext cx="2645893" cy="208501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57150</xdr:rowOff>
    </xdr:from>
    <xdr:to>
      <xdr:col>4</xdr:col>
      <xdr:colOff>126731</xdr:colOff>
      <xdr:row>7</xdr:row>
      <xdr:rowOff>126172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714375"/>
          <a:ext cx="2755631" cy="707197"/>
        </a:xfrm>
        <a:prstGeom prst="rect">
          <a:avLst/>
        </a:prstGeom>
      </xdr:spPr>
    </xdr:pic>
    <xdr:clientData/>
  </xdr:twoCellAnchor>
  <xdr:twoCellAnchor editAs="oneCell">
    <xdr:from>
      <xdr:col>8</xdr:col>
      <xdr:colOff>516081</xdr:colOff>
      <xdr:row>26</xdr:row>
      <xdr:rowOff>28575</xdr:rowOff>
    </xdr:from>
    <xdr:to>
      <xdr:col>12</xdr:col>
      <xdr:colOff>864718</xdr:colOff>
      <xdr:row>37</xdr:row>
      <xdr:rowOff>104775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93156" y="5114925"/>
          <a:ext cx="2767987" cy="218122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4</xdr:row>
      <xdr:rowOff>47625</xdr:rowOff>
    </xdr:from>
    <xdr:to>
      <xdr:col>4</xdr:col>
      <xdr:colOff>279131</xdr:colOff>
      <xdr:row>7</xdr:row>
      <xdr:rowOff>145222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809625"/>
          <a:ext cx="2755631" cy="707197"/>
        </a:xfrm>
        <a:prstGeom prst="rect">
          <a:avLst/>
        </a:prstGeom>
      </xdr:spPr>
    </xdr:pic>
    <xdr:clientData/>
  </xdr:twoCellAnchor>
  <xdr:twoCellAnchor editAs="oneCell">
    <xdr:from>
      <xdr:col>7</xdr:col>
      <xdr:colOff>142875</xdr:colOff>
      <xdr:row>25</xdr:row>
      <xdr:rowOff>190500</xdr:rowOff>
    </xdr:from>
    <xdr:to>
      <xdr:col>11</xdr:col>
      <xdr:colOff>493243</xdr:colOff>
      <xdr:row>36</xdr:row>
      <xdr:rowOff>65713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29400" y="5181600"/>
          <a:ext cx="2645893" cy="2085013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253551</xdr:colOff>
      <xdr:row>3</xdr:row>
      <xdr:rowOff>107950</xdr:rowOff>
    </xdr:from>
    <xdr:to>
      <xdr:col>3</xdr:col>
      <xdr:colOff>864144</xdr:colOff>
      <xdr:row>7</xdr:row>
      <xdr:rowOff>139700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551" y="660400"/>
          <a:ext cx="2509243" cy="768350"/>
        </a:xfrm>
        <a:prstGeom prst="rect">
          <a:avLst/>
        </a:prstGeom>
      </xdr:spPr>
    </xdr:pic>
    <xdr:clientData/>
  </xdr:twoCellAnchor>
  <xdr:twoCellAnchor>
    <xdr:from>
      <xdr:col>4</xdr:col>
      <xdr:colOff>1562100</xdr:colOff>
      <xdr:row>3</xdr:row>
      <xdr:rowOff>170009</xdr:rowOff>
    </xdr:from>
    <xdr:to>
      <xdr:col>12</xdr:col>
      <xdr:colOff>720725</xdr:colOff>
      <xdr:row>7</xdr:row>
      <xdr:rowOff>152400</xdr:rowOff>
    </xdr:to>
    <xdr:sp macro="" textlink="">
      <xdr:nvSpPr>
        <xdr:cNvPr id="3" name="Zone de texte 1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SpPr txBox="1">
          <a:spLocks/>
        </xdr:cNvSpPr>
      </xdr:nvSpPr>
      <xdr:spPr>
        <a:xfrm>
          <a:off x="4343400" y="741509"/>
          <a:ext cx="5302250" cy="744391"/>
        </a:xfrm>
        <a:prstGeom prst="rect">
          <a:avLst/>
        </a:prstGeom>
        <a:solidFill>
          <a:schemeClr val="lt1"/>
        </a:solidFill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600" b="1">
              <a:solidFill>
                <a:srgbClr val="76717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Ecole Supérieure d’Ingénierie et d’Innovation Technologique                         Année Académique 2022/2023</a:t>
          </a:r>
          <a:endParaRPr lang="fr-GA" sz="1600" b="1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400">
              <a:solidFill>
                <a:srgbClr val="76717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fr-GA" sz="14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151951</xdr:colOff>
      <xdr:row>3</xdr:row>
      <xdr:rowOff>69850</xdr:rowOff>
    </xdr:from>
    <xdr:to>
      <xdr:col>3</xdr:col>
      <xdr:colOff>749844</xdr:colOff>
      <xdr:row>7</xdr:row>
      <xdr:rowOff>114300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951" y="622300"/>
          <a:ext cx="2509243" cy="781050"/>
        </a:xfrm>
        <a:prstGeom prst="rect">
          <a:avLst/>
        </a:prstGeom>
      </xdr:spPr>
    </xdr:pic>
    <xdr:clientData/>
  </xdr:twoCellAnchor>
  <xdr:twoCellAnchor>
    <xdr:from>
      <xdr:col>4</xdr:col>
      <xdr:colOff>1428750</xdr:colOff>
      <xdr:row>4</xdr:row>
      <xdr:rowOff>30309</xdr:rowOff>
    </xdr:from>
    <xdr:to>
      <xdr:col>12</xdr:col>
      <xdr:colOff>622300</xdr:colOff>
      <xdr:row>7</xdr:row>
      <xdr:rowOff>127000</xdr:rowOff>
    </xdr:to>
    <xdr:sp macro="" textlink="">
      <xdr:nvSpPr>
        <xdr:cNvPr id="3" name="Zone de texte 1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SpPr txBox="1">
          <a:spLocks/>
        </xdr:cNvSpPr>
      </xdr:nvSpPr>
      <xdr:spPr>
        <a:xfrm>
          <a:off x="4238625" y="792309"/>
          <a:ext cx="5289550" cy="668191"/>
        </a:xfrm>
        <a:prstGeom prst="rect">
          <a:avLst/>
        </a:prstGeom>
        <a:solidFill>
          <a:schemeClr val="lt1"/>
        </a:solidFill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600" b="1">
              <a:solidFill>
                <a:srgbClr val="76717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Ecole Supérieure d’Ingénierie et d’Innovation Technologique                         Année Académique 2022/2023</a:t>
          </a:r>
          <a:endParaRPr lang="fr-GA" sz="1600" b="1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400">
              <a:solidFill>
                <a:srgbClr val="76717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fr-GA" sz="14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75751</xdr:colOff>
      <xdr:row>2</xdr:row>
      <xdr:rowOff>171450</xdr:rowOff>
    </xdr:from>
    <xdr:to>
      <xdr:col>3</xdr:col>
      <xdr:colOff>673644</xdr:colOff>
      <xdr:row>7</xdr:row>
      <xdr:rowOff>146050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51" y="539750"/>
          <a:ext cx="2509243" cy="895350"/>
        </a:xfrm>
        <a:prstGeom prst="rect">
          <a:avLst/>
        </a:prstGeom>
      </xdr:spPr>
    </xdr:pic>
    <xdr:clientData/>
  </xdr:twoCellAnchor>
  <xdr:twoCellAnchor>
    <xdr:from>
      <xdr:col>4</xdr:col>
      <xdr:colOff>1428750</xdr:colOff>
      <xdr:row>4</xdr:row>
      <xdr:rowOff>55709</xdr:rowOff>
    </xdr:from>
    <xdr:to>
      <xdr:col>12</xdr:col>
      <xdr:colOff>692150</xdr:colOff>
      <xdr:row>7</xdr:row>
      <xdr:rowOff>120650</xdr:rowOff>
    </xdr:to>
    <xdr:sp macro="" textlink="">
      <xdr:nvSpPr>
        <xdr:cNvPr id="3" name="Zone de texte 1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SpPr txBox="1">
          <a:spLocks/>
        </xdr:cNvSpPr>
      </xdr:nvSpPr>
      <xdr:spPr>
        <a:xfrm>
          <a:off x="4257675" y="817709"/>
          <a:ext cx="5321300" cy="636441"/>
        </a:xfrm>
        <a:prstGeom prst="rect">
          <a:avLst/>
        </a:prstGeom>
        <a:solidFill>
          <a:schemeClr val="lt1"/>
        </a:solidFill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600" b="1">
              <a:solidFill>
                <a:srgbClr val="76717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Ecole Supérieure d’Ingénierie et d’Innovation Technologique                         Année Académique 2022/2023</a:t>
          </a:r>
          <a:endParaRPr lang="fr-GA" sz="1600" b="1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400">
              <a:solidFill>
                <a:srgbClr val="76717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fr-GA" sz="14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164651</xdr:colOff>
      <xdr:row>2</xdr:row>
      <xdr:rowOff>158750</xdr:rowOff>
    </xdr:from>
    <xdr:to>
      <xdr:col>3</xdr:col>
      <xdr:colOff>667294</xdr:colOff>
      <xdr:row>7</xdr:row>
      <xdr:rowOff>133350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651" y="527050"/>
          <a:ext cx="2509243" cy="895350"/>
        </a:xfrm>
        <a:prstGeom prst="rect">
          <a:avLst/>
        </a:prstGeom>
      </xdr:spPr>
    </xdr:pic>
    <xdr:clientData/>
  </xdr:twoCellAnchor>
  <xdr:twoCellAnchor>
    <xdr:from>
      <xdr:col>4</xdr:col>
      <xdr:colOff>1504950</xdr:colOff>
      <xdr:row>3</xdr:row>
      <xdr:rowOff>182709</xdr:rowOff>
    </xdr:from>
    <xdr:to>
      <xdr:col>12</xdr:col>
      <xdr:colOff>720725</xdr:colOff>
      <xdr:row>7</xdr:row>
      <xdr:rowOff>165100</xdr:rowOff>
    </xdr:to>
    <xdr:sp macro="" textlink="">
      <xdr:nvSpPr>
        <xdr:cNvPr id="3" name="Zone de texte 1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SpPr txBox="1">
          <a:spLocks/>
        </xdr:cNvSpPr>
      </xdr:nvSpPr>
      <xdr:spPr>
        <a:xfrm>
          <a:off x="4371975" y="754209"/>
          <a:ext cx="5283200" cy="744391"/>
        </a:xfrm>
        <a:prstGeom prst="rect">
          <a:avLst/>
        </a:prstGeom>
        <a:solidFill>
          <a:schemeClr val="lt1"/>
        </a:solidFill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600" b="1">
              <a:solidFill>
                <a:srgbClr val="76717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Ecole Supérieure d’Ingénierie et d’Innovation Technologique                         Année Académique 2022/2023</a:t>
          </a:r>
          <a:endParaRPr lang="fr-GA" sz="1600" b="1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400">
              <a:solidFill>
                <a:srgbClr val="76717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fr-GA" sz="14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120201</xdr:colOff>
      <xdr:row>2</xdr:row>
      <xdr:rowOff>177800</xdr:rowOff>
    </xdr:from>
    <xdr:to>
      <xdr:col>3</xdr:col>
      <xdr:colOff>800644</xdr:colOff>
      <xdr:row>7</xdr:row>
      <xdr:rowOff>152400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201" y="546100"/>
          <a:ext cx="2509243" cy="895350"/>
        </a:xfrm>
        <a:prstGeom prst="rect">
          <a:avLst/>
        </a:prstGeom>
      </xdr:spPr>
    </xdr:pic>
    <xdr:clientData/>
  </xdr:twoCellAnchor>
  <xdr:twoCellAnchor>
    <xdr:from>
      <xdr:col>4</xdr:col>
      <xdr:colOff>1701800</xdr:colOff>
      <xdr:row>3</xdr:row>
      <xdr:rowOff>182709</xdr:rowOff>
    </xdr:from>
    <xdr:to>
      <xdr:col>12</xdr:col>
      <xdr:colOff>590550</xdr:colOff>
      <xdr:row>7</xdr:row>
      <xdr:rowOff>165100</xdr:rowOff>
    </xdr:to>
    <xdr:sp macro="" textlink="">
      <xdr:nvSpPr>
        <xdr:cNvPr id="3" name="Zone de texte 1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SpPr txBox="1">
          <a:spLocks/>
        </xdr:cNvSpPr>
      </xdr:nvSpPr>
      <xdr:spPr>
        <a:xfrm>
          <a:off x="4724400" y="735159"/>
          <a:ext cx="5308600" cy="718991"/>
        </a:xfrm>
        <a:prstGeom prst="rect">
          <a:avLst/>
        </a:prstGeom>
        <a:solidFill>
          <a:schemeClr val="lt1"/>
        </a:solidFill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600" b="1">
              <a:solidFill>
                <a:srgbClr val="76717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Ecole Supérieure d’Ingénierie et d’Innovation Technologique                         Année Académique 2022/2023</a:t>
          </a:r>
          <a:endParaRPr lang="fr-GA" sz="1600" b="1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400">
              <a:solidFill>
                <a:srgbClr val="76717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fr-GA" sz="14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571051</xdr:colOff>
      <xdr:row>1</xdr:row>
      <xdr:rowOff>19050</xdr:rowOff>
    </xdr:from>
    <xdr:to>
      <xdr:col>4</xdr:col>
      <xdr:colOff>51344</xdr:colOff>
      <xdr:row>5</xdr:row>
      <xdr:rowOff>177800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2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051" y="203200"/>
          <a:ext cx="2509243" cy="895350"/>
        </a:xfrm>
        <a:prstGeom prst="rect">
          <a:avLst/>
        </a:prstGeom>
      </xdr:spPr>
    </xdr:pic>
    <xdr:clientData/>
  </xdr:twoCellAnchor>
  <xdr:twoCellAnchor>
    <xdr:from>
      <xdr:col>4</xdr:col>
      <xdr:colOff>1651000</xdr:colOff>
      <xdr:row>1</xdr:row>
      <xdr:rowOff>176359</xdr:rowOff>
    </xdr:from>
    <xdr:to>
      <xdr:col>12</xdr:col>
      <xdr:colOff>552450</xdr:colOff>
      <xdr:row>5</xdr:row>
      <xdr:rowOff>158750</xdr:rowOff>
    </xdr:to>
    <xdr:sp macro="" textlink="">
      <xdr:nvSpPr>
        <xdr:cNvPr id="5" name="Zone de texte 1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SpPr txBox="1">
          <a:spLocks/>
        </xdr:cNvSpPr>
      </xdr:nvSpPr>
      <xdr:spPr>
        <a:xfrm>
          <a:off x="4762500" y="360509"/>
          <a:ext cx="5251450" cy="718991"/>
        </a:xfrm>
        <a:prstGeom prst="rect">
          <a:avLst/>
        </a:prstGeom>
        <a:solidFill>
          <a:schemeClr val="lt1"/>
        </a:solidFill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600" b="1">
              <a:solidFill>
                <a:srgbClr val="76717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Ecole Supérieure d’ingénierie et d’innovation Technologique                         Année académique 2022/2023</a:t>
          </a:r>
          <a:endParaRPr lang="fr-GA" sz="1600" b="1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400">
              <a:solidFill>
                <a:srgbClr val="76717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fr-GA" sz="14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545651</xdr:colOff>
      <xdr:row>1</xdr:row>
      <xdr:rowOff>12700</xdr:rowOff>
    </xdr:from>
    <xdr:to>
      <xdr:col>4</xdr:col>
      <xdr:colOff>70394</xdr:colOff>
      <xdr:row>5</xdr:row>
      <xdr:rowOff>171450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5651" y="196850"/>
          <a:ext cx="2509243" cy="895350"/>
        </a:xfrm>
        <a:prstGeom prst="rect">
          <a:avLst/>
        </a:prstGeom>
      </xdr:spPr>
    </xdr:pic>
    <xdr:clientData/>
  </xdr:twoCellAnchor>
  <xdr:twoCellAnchor>
    <xdr:from>
      <xdr:col>4</xdr:col>
      <xdr:colOff>1809750</xdr:colOff>
      <xdr:row>1</xdr:row>
      <xdr:rowOff>182709</xdr:rowOff>
    </xdr:from>
    <xdr:to>
      <xdr:col>12</xdr:col>
      <xdr:colOff>730250</xdr:colOff>
      <xdr:row>5</xdr:row>
      <xdr:rowOff>165100</xdr:rowOff>
    </xdr:to>
    <xdr:sp macro="" textlink="">
      <xdr:nvSpPr>
        <xdr:cNvPr id="3" name="Zone de texte 1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SpPr txBox="1">
          <a:spLocks/>
        </xdr:cNvSpPr>
      </xdr:nvSpPr>
      <xdr:spPr>
        <a:xfrm>
          <a:off x="4794250" y="366859"/>
          <a:ext cx="5302250" cy="718991"/>
        </a:xfrm>
        <a:prstGeom prst="rect">
          <a:avLst/>
        </a:prstGeom>
        <a:solidFill>
          <a:schemeClr val="lt1"/>
        </a:solidFill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600" b="1">
              <a:solidFill>
                <a:srgbClr val="76717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Ecole Supérieure d’ingénierie et d’innovation Technologique                         Année académique 2022/2023</a:t>
          </a:r>
          <a:endParaRPr lang="fr-GA" sz="1600" b="1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400">
              <a:solidFill>
                <a:srgbClr val="76717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fr-GA" sz="14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585949</xdr:colOff>
      <xdr:row>1</xdr:row>
      <xdr:rowOff>12945</xdr:rowOff>
    </xdr:from>
    <xdr:to>
      <xdr:col>3</xdr:col>
      <xdr:colOff>1093477</xdr:colOff>
      <xdr:row>5</xdr:row>
      <xdr:rowOff>171695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2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949" y="196118"/>
          <a:ext cx="2508511" cy="891442"/>
        </a:xfrm>
        <a:prstGeom prst="rect">
          <a:avLst/>
        </a:prstGeom>
      </xdr:spPr>
    </xdr:pic>
    <xdr:clientData/>
  </xdr:twoCellAnchor>
  <xdr:twoCellAnchor>
    <xdr:from>
      <xdr:col>4</xdr:col>
      <xdr:colOff>1749777</xdr:colOff>
      <xdr:row>2</xdr:row>
      <xdr:rowOff>19942</xdr:rowOff>
    </xdr:from>
    <xdr:to>
      <xdr:col>12</xdr:col>
      <xdr:colOff>667454</xdr:colOff>
      <xdr:row>6</xdr:row>
      <xdr:rowOff>2605</xdr:rowOff>
    </xdr:to>
    <xdr:sp macro="" textlink="">
      <xdr:nvSpPr>
        <xdr:cNvPr id="5" name="Zone de texte 1">
          <a:extLst>
            <a:ext uri="{FF2B5EF4-FFF2-40B4-BE49-F238E27FC236}">
              <a16:creationId xmlns:a16="http://schemas.microsoft.com/office/drawing/2014/main" id="{00000000-0008-0000-2700-000005000000}"/>
            </a:ext>
          </a:extLst>
        </xdr:cNvPr>
        <xdr:cNvSpPr txBox="1">
          <a:spLocks/>
        </xdr:cNvSpPr>
      </xdr:nvSpPr>
      <xdr:spPr>
        <a:xfrm>
          <a:off x="4857614" y="386288"/>
          <a:ext cx="5432532" cy="715355"/>
        </a:xfrm>
        <a:prstGeom prst="rect">
          <a:avLst/>
        </a:prstGeom>
        <a:solidFill>
          <a:schemeClr val="lt1"/>
        </a:solidFill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600">
              <a:solidFill>
                <a:srgbClr val="76717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Ecole Supérieure d’ingénierie et d’innovation Technologique                         Année académique 2022/2023</a:t>
          </a:r>
          <a:endParaRPr lang="fr-GA" sz="16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400">
              <a:solidFill>
                <a:srgbClr val="76717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fr-GA" sz="14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545651</xdr:colOff>
      <xdr:row>1</xdr:row>
      <xdr:rowOff>12700</xdr:rowOff>
    </xdr:from>
    <xdr:to>
      <xdr:col>3</xdr:col>
      <xdr:colOff>1092744</xdr:colOff>
      <xdr:row>5</xdr:row>
      <xdr:rowOff>171450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5651" y="196850"/>
          <a:ext cx="2509243" cy="895350"/>
        </a:xfrm>
        <a:prstGeom prst="rect">
          <a:avLst/>
        </a:prstGeom>
      </xdr:spPr>
    </xdr:pic>
    <xdr:clientData/>
  </xdr:twoCellAnchor>
  <xdr:twoCellAnchor>
    <xdr:from>
      <xdr:col>4</xdr:col>
      <xdr:colOff>1714500</xdr:colOff>
      <xdr:row>2</xdr:row>
      <xdr:rowOff>4909</xdr:rowOff>
    </xdr:from>
    <xdr:to>
      <xdr:col>12</xdr:col>
      <xdr:colOff>552450</xdr:colOff>
      <xdr:row>5</xdr:row>
      <xdr:rowOff>171450</xdr:rowOff>
    </xdr:to>
    <xdr:sp macro="" textlink="">
      <xdr:nvSpPr>
        <xdr:cNvPr id="3" name="Zone de texte 1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SpPr txBox="1">
          <a:spLocks/>
        </xdr:cNvSpPr>
      </xdr:nvSpPr>
      <xdr:spPr>
        <a:xfrm>
          <a:off x="4819650" y="373209"/>
          <a:ext cx="5372100" cy="718991"/>
        </a:xfrm>
        <a:prstGeom prst="rect">
          <a:avLst/>
        </a:prstGeom>
        <a:solidFill>
          <a:schemeClr val="lt1"/>
        </a:solidFill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600">
              <a:solidFill>
                <a:srgbClr val="76717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Ecole Supérieure d’ingénierie et d’innovation Technologique                         Année académique 2022/2023</a:t>
          </a:r>
          <a:endParaRPr lang="fr-GA" sz="16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400">
              <a:solidFill>
                <a:srgbClr val="76717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fr-GA" sz="14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526601</xdr:colOff>
      <xdr:row>1</xdr:row>
      <xdr:rowOff>44450</xdr:rowOff>
    </xdr:from>
    <xdr:to>
      <xdr:col>3</xdr:col>
      <xdr:colOff>1086394</xdr:colOff>
      <xdr:row>6</xdr:row>
      <xdr:rowOff>19050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601" y="228600"/>
          <a:ext cx="2509243" cy="895350"/>
        </a:xfrm>
        <a:prstGeom prst="rect">
          <a:avLst/>
        </a:prstGeom>
      </xdr:spPr>
    </xdr:pic>
    <xdr:clientData/>
  </xdr:twoCellAnchor>
  <xdr:twoCellAnchor>
    <xdr:from>
      <xdr:col>4</xdr:col>
      <xdr:colOff>1847850</xdr:colOff>
      <xdr:row>1</xdr:row>
      <xdr:rowOff>182709</xdr:rowOff>
    </xdr:from>
    <xdr:to>
      <xdr:col>12</xdr:col>
      <xdr:colOff>673100</xdr:colOff>
      <xdr:row>5</xdr:row>
      <xdr:rowOff>165100</xdr:rowOff>
    </xdr:to>
    <xdr:sp macro="" textlink="">
      <xdr:nvSpPr>
        <xdr:cNvPr id="3" name="Zone de texte 1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SpPr txBox="1">
          <a:spLocks/>
        </xdr:cNvSpPr>
      </xdr:nvSpPr>
      <xdr:spPr>
        <a:xfrm>
          <a:off x="4940300" y="366859"/>
          <a:ext cx="5175250" cy="718991"/>
        </a:xfrm>
        <a:prstGeom prst="rect">
          <a:avLst/>
        </a:prstGeom>
        <a:solidFill>
          <a:schemeClr val="lt1"/>
        </a:solidFill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600">
              <a:solidFill>
                <a:srgbClr val="76717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Ecole Supérieure d’ingénierie et d’innovation Technologique                         Année académique 2022/2023</a:t>
          </a:r>
          <a:endParaRPr lang="fr-GA" sz="16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400">
              <a:solidFill>
                <a:srgbClr val="76717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fr-GA" sz="14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ropbox/ESIITECH/ESIITECH%202024-2025/RELEVE%20ET%20BULLETIN%20DE%20NOTE%202023-2024/TRONC%20COMMUN/RELEVE%20TRONC%20COMMUN%201-%202024-2025/SEMESTRE%20N&#176;1/SN&#176;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MESTRE N°1"/>
      <sheetName val="BULL_N0"/>
      <sheetName val="BULL_N1"/>
      <sheetName val="BULL_N2"/>
      <sheetName val="BULL_N3"/>
      <sheetName val="BULL_N4"/>
      <sheetName val="BULL_N5"/>
      <sheetName val="BULL_N6"/>
      <sheetName val="BULL_N7"/>
      <sheetName val="BULL_N8"/>
      <sheetName val="BULL_N9"/>
      <sheetName val="BULL_N10"/>
      <sheetName val="BULL_N11"/>
      <sheetName val="BULL_N12"/>
      <sheetName val="BULL_N13"/>
      <sheetName val="BULL_N14"/>
      <sheetName val="BULL_N15"/>
      <sheetName val="BULL_N16"/>
      <sheetName val="BULL_N17"/>
      <sheetName val="BULL_N18"/>
      <sheetName val="BULL_N19"/>
      <sheetName val="BULL_N20"/>
      <sheetName val="BULL_N21"/>
      <sheetName val="BULL_N22"/>
      <sheetName val="BULL_N23"/>
      <sheetName val="BULL_N24"/>
      <sheetName val="BULL_N25"/>
      <sheetName val="BULL_N26"/>
      <sheetName val="BULL_N27"/>
      <sheetName val="BULL_N28"/>
      <sheetName val="BULL_N29"/>
      <sheetName val="BULL_N30"/>
      <sheetName val="BULL_N31"/>
      <sheetName val="BULL_N32"/>
      <sheetName val="BULL_N33"/>
      <sheetName val="BULL_N34"/>
      <sheetName val="BULL_N35"/>
      <sheetName val="BULL_N36"/>
      <sheetName val="BULL_N37"/>
      <sheetName val="BULL_N38"/>
      <sheetName val="BULL_N39"/>
      <sheetName val="BULL_N40"/>
    </sheetNames>
    <sheetDataSet>
      <sheetData sheetId="0" refreshError="1"/>
      <sheetData sheetId="1">
        <row r="19">
          <cell r="G19">
            <v>7.6000000000000005</v>
          </cell>
        </row>
        <row r="20">
          <cell r="G20">
            <v>5.6</v>
          </cell>
        </row>
        <row r="21">
          <cell r="G21">
            <v>8.8000000000000007</v>
          </cell>
        </row>
        <row r="22">
          <cell r="G22">
            <v>14.96</v>
          </cell>
        </row>
        <row r="23">
          <cell r="G23">
            <v>5.35</v>
          </cell>
        </row>
        <row r="24">
          <cell r="G24">
            <v>6.4</v>
          </cell>
        </row>
        <row r="25">
          <cell r="G25">
            <v>12.8</v>
          </cell>
        </row>
        <row r="26">
          <cell r="G26">
            <v>10.6</v>
          </cell>
        </row>
        <row r="27">
          <cell r="G27">
            <v>17.850000000000001</v>
          </cell>
        </row>
      </sheetData>
      <sheetData sheetId="2">
        <row r="19">
          <cell r="G19">
            <v>4.8</v>
          </cell>
        </row>
        <row r="20">
          <cell r="G20">
            <v>8</v>
          </cell>
        </row>
        <row r="21">
          <cell r="G21">
            <v>11.8</v>
          </cell>
        </row>
        <row r="22">
          <cell r="G22">
            <v>5.12</v>
          </cell>
        </row>
        <row r="23">
          <cell r="G23">
            <v>2.5</v>
          </cell>
        </row>
        <row r="24">
          <cell r="G24">
            <v>3.6999999999999997</v>
          </cell>
        </row>
        <row r="25">
          <cell r="G25">
            <v>10.864000000000001</v>
          </cell>
        </row>
        <row r="26">
          <cell r="G26">
            <v>12.600000000000001</v>
          </cell>
        </row>
        <row r="27">
          <cell r="G27">
            <v>11.8</v>
          </cell>
        </row>
      </sheetData>
      <sheetData sheetId="3">
        <row r="19">
          <cell r="G19">
            <v>7.2</v>
          </cell>
        </row>
        <row r="20">
          <cell r="G20">
            <v>6</v>
          </cell>
        </row>
        <row r="21">
          <cell r="G21">
            <v>11</v>
          </cell>
        </row>
        <row r="22">
          <cell r="G22">
            <v>9.9499999999999993</v>
          </cell>
        </row>
        <row r="23">
          <cell r="G23">
            <v>1.2000000000000002</v>
          </cell>
        </row>
        <row r="24">
          <cell r="G24">
            <v>3.5</v>
          </cell>
        </row>
        <row r="25">
          <cell r="G25">
            <v>12.8</v>
          </cell>
        </row>
        <row r="26">
          <cell r="G26">
            <v>11.8</v>
          </cell>
        </row>
        <row r="27">
          <cell r="G27">
            <v>10.7</v>
          </cell>
        </row>
      </sheetData>
      <sheetData sheetId="4">
        <row r="19">
          <cell r="G19">
            <v>7.8000000000000007</v>
          </cell>
        </row>
        <row r="20">
          <cell r="G20">
            <v>17.600000000000001</v>
          </cell>
        </row>
        <row r="21">
          <cell r="G21">
            <v>13</v>
          </cell>
        </row>
        <row r="22">
          <cell r="G22">
            <v>17.52</v>
          </cell>
        </row>
        <row r="23">
          <cell r="G23">
            <v>8.0500000000000007</v>
          </cell>
        </row>
        <row r="24">
          <cell r="G24">
            <v>11</v>
          </cell>
        </row>
        <row r="25">
          <cell r="G25">
            <v>15.263999999999999</v>
          </cell>
        </row>
        <row r="26">
          <cell r="G26">
            <v>17.2</v>
          </cell>
        </row>
        <row r="27">
          <cell r="G27">
            <v>16.744</v>
          </cell>
        </row>
      </sheetData>
      <sheetData sheetId="5">
        <row r="19">
          <cell r="G19">
            <v>4.5999999999999996</v>
          </cell>
        </row>
        <row r="20">
          <cell r="G20">
            <v>16.600000000000001</v>
          </cell>
        </row>
        <row r="21">
          <cell r="G21">
            <v>10.8</v>
          </cell>
        </row>
        <row r="22">
          <cell r="G22">
            <v>15.39</v>
          </cell>
        </row>
        <row r="23">
          <cell r="G23">
            <v>5.548</v>
          </cell>
        </row>
        <row r="24">
          <cell r="G24">
            <v>11.7</v>
          </cell>
        </row>
        <row r="25">
          <cell r="G25">
            <v>13.864000000000001</v>
          </cell>
        </row>
        <row r="26">
          <cell r="G26">
            <v>16.8</v>
          </cell>
        </row>
        <row r="27">
          <cell r="G27">
            <v>12</v>
          </cell>
        </row>
      </sheetData>
      <sheetData sheetId="6">
        <row r="19">
          <cell r="G19">
            <v>7.6</v>
          </cell>
        </row>
        <row r="20">
          <cell r="G20">
            <v>13.200000000000001</v>
          </cell>
        </row>
        <row r="21">
          <cell r="G21">
            <v>11.8</v>
          </cell>
        </row>
        <row r="22">
          <cell r="G22">
            <v>15.42</v>
          </cell>
        </row>
        <row r="23">
          <cell r="G23">
            <v>6.2000000000000011</v>
          </cell>
        </row>
        <row r="24">
          <cell r="G24">
            <v>13.7</v>
          </cell>
        </row>
        <row r="25">
          <cell r="G25">
            <v>15.4</v>
          </cell>
        </row>
        <row r="26">
          <cell r="G26">
            <v>17.399999999999999</v>
          </cell>
        </row>
        <row r="27">
          <cell r="G27">
            <v>15.95</v>
          </cell>
        </row>
      </sheetData>
      <sheetData sheetId="7">
        <row r="19">
          <cell r="G19">
            <v>9.1999999999999993</v>
          </cell>
        </row>
        <row r="20">
          <cell r="G20">
            <v>17.5</v>
          </cell>
        </row>
        <row r="21">
          <cell r="G21">
            <v>14</v>
          </cell>
        </row>
        <row r="22">
          <cell r="G22">
            <v>16.96</v>
          </cell>
        </row>
        <row r="23">
          <cell r="G23">
            <v>6.8</v>
          </cell>
        </row>
        <row r="24">
          <cell r="G24">
            <v>15.7</v>
          </cell>
        </row>
        <row r="25">
          <cell r="G25">
            <v>17</v>
          </cell>
        </row>
        <row r="26">
          <cell r="G26">
            <v>17</v>
          </cell>
        </row>
        <row r="27">
          <cell r="G27">
            <v>18.648000000000003</v>
          </cell>
        </row>
      </sheetData>
      <sheetData sheetId="8">
        <row r="19">
          <cell r="G19">
            <v>0.4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0.60000000000000009</v>
          </cell>
        </row>
        <row r="24">
          <cell r="G24">
            <v>2.8000000000000003</v>
          </cell>
        </row>
        <row r="25">
          <cell r="G25">
            <v>6.1000000000000005</v>
          </cell>
        </row>
        <row r="26">
          <cell r="G26">
            <v>1.8</v>
          </cell>
        </row>
        <row r="27">
          <cell r="G27">
            <v>2.7</v>
          </cell>
        </row>
      </sheetData>
      <sheetData sheetId="9" refreshError="1"/>
      <sheetData sheetId="10">
        <row r="19">
          <cell r="G19">
            <v>7.8000000000000007</v>
          </cell>
        </row>
        <row r="20">
          <cell r="G20">
            <v>10.952</v>
          </cell>
        </row>
        <row r="21">
          <cell r="G21">
            <v>11.4</v>
          </cell>
        </row>
        <row r="22">
          <cell r="G22">
            <v>10.600000000000001</v>
          </cell>
        </row>
        <row r="23">
          <cell r="G23">
            <v>4.4520000000000008</v>
          </cell>
        </row>
        <row r="24">
          <cell r="G24">
            <v>10.5</v>
          </cell>
        </row>
        <row r="25">
          <cell r="G25">
            <v>12.332000000000001</v>
          </cell>
        </row>
        <row r="26">
          <cell r="G26">
            <v>13.5</v>
          </cell>
        </row>
        <row r="27">
          <cell r="G27">
            <v>11.3</v>
          </cell>
        </row>
      </sheetData>
      <sheetData sheetId="11">
        <row r="19">
          <cell r="G19">
            <v>1.4000000000000001</v>
          </cell>
        </row>
        <row r="20">
          <cell r="G20">
            <v>1.35</v>
          </cell>
        </row>
        <row r="21">
          <cell r="G21">
            <v>8.1999999999999993</v>
          </cell>
        </row>
        <row r="22">
          <cell r="G22">
            <v>5.86</v>
          </cell>
        </row>
        <row r="23">
          <cell r="G23">
            <v>2.048</v>
          </cell>
        </row>
        <row r="24">
          <cell r="G24">
            <v>1.7</v>
          </cell>
        </row>
        <row r="25">
          <cell r="G25">
            <v>3.2</v>
          </cell>
        </row>
        <row r="26">
          <cell r="G26">
            <v>9.4</v>
          </cell>
        </row>
        <row r="27">
          <cell r="G27">
            <v>2.7</v>
          </cell>
        </row>
      </sheetData>
      <sheetData sheetId="12">
        <row r="19">
          <cell r="G19">
            <v>6.4</v>
          </cell>
        </row>
        <row r="20">
          <cell r="G20">
            <v>4.6000000000000005</v>
          </cell>
        </row>
        <row r="21">
          <cell r="G21">
            <v>6.2</v>
          </cell>
        </row>
        <row r="22">
          <cell r="G22">
            <v>12.22</v>
          </cell>
        </row>
        <row r="23">
          <cell r="G23">
            <v>2.9000000000000004</v>
          </cell>
        </row>
        <row r="24">
          <cell r="G24">
            <v>1.5</v>
          </cell>
        </row>
        <row r="25">
          <cell r="G25">
            <v>11.064</v>
          </cell>
        </row>
        <row r="26">
          <cell r="G26">
            <v>10.4</v>
          </cell>
        </row>
        <row r="27">
          <cell r="G27">
            <v>18.248000000000001</v>
          </cell>
        </row>
      </sheetData>
      <sheetData sheetId="13">
        <row r="19">
          <cell r="G19">
            <v>3.2</v>
          </cell>
        </row>
        <row r="20">
          <cell r="G20">
            <v>7.6</v>
          </cell>
        </row>
        <row r="21">
          <cell r="G21">
            <v>9</v>
          </cell>
        </row>
        <row r="22">
          <cell r="G22">
            <v>8.76</v>
          </cell>
        </row>
        <row r="23">
          <cell r="G23">
            <v>4.45</v>
          </cell>
        </row>
        <row r="24">
          <cell r="G24">
            <v>3.8</v>
          </cell>
        </row>
        <row r="25">
          <cell r="G25">
            <v>10.464</v>
          </cell>
        </row>
        <row r="26">
          <cell r="G26">
            <v>10</v>
          </cell>
        </row>
        <row r="27">
          <cell r="G27">
            <v>12.847999999999999</v>
          </cell>
        </row>
      </sheetData>
      <sheetData sheetId="14">
        <row r="19">
          <cell r="G19">
            <v>5.6</v>
          </cell>
        </row>
        <row r="20">
          <cell r="G20">
            <v>3.6</v>
          </cell>
        </row>
        <row r="21">
          <cell r="G21">
            <v>7.8000000000000007</v>
          </cell>
        </row>
        <row r="22">
          <cell r="G22">
            <v>9.4600000000000009</v>
          </cell>
        </row>
        <row r="23">
          <cell r="G23">
            <v>2.9</v>
          </cell>
        </row>
        <row r="24">
          <cell r="G24">
            <v>2.1</v>
          </cell>
        </row>
        <row r="25">
          <cell r="G25">
            <v>8.2319999999999993</v>
          </cell>
        </row>
        <row r="26">
          <cell r="G26">
            <v>9</v>
          </cell>
        </row>
        <row r="27">
          <cell r="G27">
            <v>13.547999999999998</v>
          </cell>
        </row>
      </sheetData>
      <sheetData sheetId="15">
        <row r="19">
          <cell r="G19">
            <v>7.2000000000000011</v>
          </cell>
        </row>
        <row r="20">
          <cell r="G20">
            <v>5.5</v>
          </cell>
        </row>
        <row r="21">
          <cell r="G21">
            <v>7.2000000000000011</v>
          </cell>
        </row>
        <row r="22">
          <cell r="G22">
            <v>6.4399999999999995</v>
          </cell>
        </row>
        <row r="23">
          <cell r="G23">
            <v>1.4480000000000002</v>
          </cell>
        </row>
        <row r="24">
          <cell r="G24">
            <v>4.7</v>
          </cell>
        </row>
        <row r="25">
          <cell r="G25">
            <v>6.3640000000000008</v>
          </cell>
        </row>
        <row r="26">
          <cell r="G26">
            <v>12.2</v>
          </cell>
        </row>
        <row r="27">
          <cell r="G27">
            <v>11.597999999999999</v>
          </cell>
        </row>
      </sheetData>
      <sheetData sheetId="16">
        <row r="19">
          <cell r="G19">
            <v>12.6</v>
          </cell>
        </row>
        <row r="20">
          <cell r="G20">
            <v>8.4500000000000011</v>
          </cell>
        </row>
        <row r="21">
          <cell r="G21">
            <v>10.399999999999999</v>
          </cell>
        </row>
        <row r="22">
          <cell r="G22">
            <v>15.440000000000001</v>
          </cell>
        </row>
        <row r="23">
          <cell r="G23">
            <v>6.6</v>
          </cell>
        </row>
        <row r="24">
          <cell r="G24">
            <v>7.5</v>
          </cell>
        </row>
        <row r="25">
          <cell r="G25">
            <v>6.532</v>
          </cell>
        </row>
        <row r="26">
          <cell r="G26">
            <v>13.8</v>
          </cell>
        </row>
        <row r="27">
          <cell r="G27">
            <v>10.3</v>
          </cell>
        </row>
      </sheetData>
      <sheetData sheetId="17">
        <row r="19">
          <cell r="G19">
            <v>8.8000000000000007</v>
          </cell>
        </row>
        <row r="20">
          <cell r="G20">
            <v>6.8000000000000007</v>
          </cell>
        </row>
        <row r="21">
          <cell r="G21">
            <v>9</v>
          </cell>
        </row>
        <row r="22">
          <cell r="G22">
            <v>16.689999999999998</v>
          </cell>
        </row>
        <row r="23">
          <cell r="G23">
            <v>4.7</v>
          </cell>
        </row>
        <row r="24">
          <cell r="G24">
            <v>4.0999999999999996</v>
          </cell>
        </row>
        <row r="25">
          <cell r="G25">
            <v>11.1</v>
          </cell>
        </row>
        <row r="26">
          <cell r="G26">
            <v>10.1</v>
          </cell>
        </row>
        <row r="27">
          <cell r="G27">
            <v>15.497999999999999</v>
          </cell>
        </row>
      </sheetData>
      <sheetData sheetId="18">
        <row r="19">
          <cell r="G19">
            <v>9</v>
          </cell>
        </row>
        <row r="20">
          <cell r="G20">
            <v>12.1</v>
          </cell>
        </row>
        <row r="21">
          <cell r="G21">
            <v>11.4</v>
          </cell>
        </row>
        <row r="22">
          <cell r="G22">
            <v>17.440000000000001</v>
          </cell>
        </row>
        <row r="23">
          <cell r="G23">
            <v>6.2</v>
          </cell>
        </row>
        <row r="24">
          <cell r="G24">
            <v>13.4</v>
          </cell>
        </row>
        <row r="25">
          <cell r="G25">
            <v>15.2</v>
          </cell>
        </row>
        <row r="26">
          <cell r="G26">
            <v>13.8</v>
          </cell>
        </row>
        <row r="27">
          <cell r="G27">
            <v>17.7</v>
          </cell>
        </row>
      </sheetData>
      <sheetData sheetId="19">
        <row r="19">
          <cell r="G19">
            <v>8.8000000000000007</v>
          </cell>
        </row>
        <row r="20">
          <cell r="G20">
            <v>2.8520000000000003</v>
          </cell>
        </row>
        <row r="21">
          <cell r="G21">
            <v>3.5999999999999996</v>
          </cell>
        </row>
        <row r="22">
          <cell r="G22">
            <v>7.4899999999999993</v>
          </cell>
        </row>
        <row r="23">
          <cell r="G23">
            <v>3.2</v>
          </cell>
        </row>
        <row r="24">
          <cell r="G24">
            <v>0.3</v>
          </cell>
        </row>
        <row r="25">
          <cell r="G25">
            <v>6.6000000000000005</v>
          </cell>
        </row>
        <row r="26">
          <cell r="G26">
            <v>9.1999999999999993</v>
          </cell>
        </row>
        <row r="27">
          <cell r="G27">
            <v>10.9</v>
          </cell>
        </row>
      </sheetData>
      <sheetData sheetId="20">
        <row r="19">
          <cell r="G19" t="e">
            <v>#REF!</v>
          </cell>
        </row>
        <row r="20">
          <cell r="G20" t="e">
            <v>#REF!</v>
          </cell>
        </row>
        <row r="21">
          <cell r="G21" t="e">
            <v>#REF!</v>
          </cell>
        </row>
        <row r="22">
          <cell r="G22" t="e">
            <v>#REF!</v>
          </cell>
        </row>
        <row r="23">
          <cell r="G23" t="e">
            <v>#REF!</v>
          </cell>
        </row>
        <row r="24">
          <cell r="G24" t="e">
            <v>#REF!</v>
          </cell>
        </row>
        <row r="25">
          <cell r="G25" t="e">
            <v>#REF!</v>
          </cell>
        </row>
        <row r="26">
          <cell r="G26" t="e">
            <v>#REF!</v>
          </cell>
        </row>
        <row r="27">
          <cell r="G27" t="e">
            <v>#REF!</v>
          </cell>
        </row>
      </sheetData>
      <sheetData sheetId="21">
        <row r="19">
          <cell r="G19">
            <v>10.600000000000001</v>
          </cell>
        </row>
        <row r="20">
          <cell r="G20">
            <v>18.852</v>
          </cell>
        </row>
        <row r="21">
          <cell r="G21">
            <v>13.2</v>
          </cell>
        </row>
        <row r="22">
          <cell r="G22">
            <v>16</v>
          </cell>
        </row>
        <row r="23">
          <cell r="G23">
            <v>8.85</v>
          </cell>
        </row>
        <row r="24">
          <cell r="G24">
            <v>19.399999999999999</v>
          </cell>
        </row>
        <row r="25">
          <cell r="G25">
            <v>17.863999999999997</v>
          </cell>
        </row>
        <row r="26">
          <cell r="G26">
            <v>14.200000000000001</v>
          </cell>
        </row>
        <row r="27">
          <cell r="G27">
            <v>17.548000000000002</v>
          </cell>
        </row>
      </sheetData>
      <sheetData sheetId="22">
        <row r="19">
          <cell r="G19">
            <v>6.6</v>
          </cell>
        </row>
        <row r="20">
          <cell r="G20">
            <v>3.6</v>
          </cell>
        </row>
        <row r="21">
          <cell r="G21">
            <v>8.4</v>
          </cell>
        </row>
        <row r="22">
          <cell r="G22">
            <v>9.3000000000000007</v>
          </cell>
        </row>
        <row r="23">
          <cell r="G23">
            <v>4.3</v>
          </cell>
        </row>
        <row r="24">
          <cell r="G24">
            <v>2.9</v>
          </cell>
        </row>
        <row r="25">
          <cell r="G25">
            <v>7.3</v>
          </cell>
        </row>
        <row r="26">
          <cell r="G26">
            <v>7.6000000000000005</v>
          </cell>
        </row>
        <row r="27">
          <cell r="G27">
            <v>14.55</v>
          </cell>
        </row>
      </sheetData>
      <sheetData sheetId="23">
        <row r="19">
          <cell r="G19">
            <v>12.4</v>
          </cell>
        </row>
        <row r="20">
          <cell r="G20">
            <v>2.2480000000000002</v>
          </cell>
        </row>
        <row r="21">
          <cell r="G21">
            <v>10</v>
          </cell>
        </row>
        <row r="22">
          <cell r="G22">
            <v>8.6999999999999993</v>
          </cell>
        </row>
        <row r="23">
          <cell r="G23">
            <v>5.95</v>
          </cell>
        </row>
        <row r="24">
          <cell r="G24">
            <v>3.4</v>
          </cell>
        </row>
        <row r="25">
          <cell r="G25">
            <v>8.4640000000000004</v>
          </cell>
        </row>
        <row r="26">
          <cell r="G26">
            <v>10.9</v>
          </cell>
        </row>
        <row r="27">
          <cell r="G27">
            <v>13.948</v>
          </cell>
        </row>
      </sheetData>
      <sheetData sheetId="24">
        <row r="19">
          <cell r="G19">
            <v>4.4000000000000004</v>
          </cell>
        </row>
        <row r="20">
          <cell r="G20">
            <v>5.5</v>
          </cell>
        </row>
        <row r="21">
          <cell r="G21">
            <v>12.2</v>
          </cell>
        </row>
        <row r="22">
          <cell r="G22">
            <v>6.39</v>
          </cell>
        </row>
        <row r="23">
          <cell r="G23">
            <v>4.1000000000000005</v>
          </cell>
        </row>
        <row r="24">
          <cell r="G24">
            <v>4.5</v>
          </cell>
        </row>
        <row r="25">
          <cell r="G25">
            <v>6.8000000000000007</v>
          </cell>
        </row>
        <row r="26">
          <cell r="G26">
            <v>7.8</v>
          </cell>
        </row>
        <row r="27">
          <cell r="G27">
            <v>6.8479999999999999</v>
          </cell>
        </row>
      </sheetData>
      <sheetData sheetId="25">
        <row r="19">
          <cell r="G19">
            <v>10.8</v>
          </cell>
        </row>
        <row r="20">
          <cell r="G20">
            <v>15.2</v>
          </cell>
        </row>
        <row r="21">
          <cell r="G21">
            <v>11.8</v>
          </cell>
        </row>
        <row r="22">
          <cell r="G22">
            <v>8.6999999999999993</v>
          </cell>
        </row>
        <row r="23">
          <cell r="G23">
            <v>4.1500000000000004</v>
          </cell>
        </row>
        <row r="24">
          <cell r="G24">
            <v>4.9000000000000004</v>
          </cell>
        </row>
        <row r="25">
          <cell r="G25">
            <v>12.564</v>
          </cell>
        </row>
        <row r="26">
          <cell r="G26">
            <v>15</v>
          </cell>
        </row>
        <row r="27">
          <cell r="G27">
            <v>13.148</v>
          </cell>
        </row>
      </sheetData>
      <sheetData sheetId="26">
        <row r="19">
          <cell r="G19">
            <v>0.60000000000000009</v>
          </cell>
        </row>
        <row r="20">
          <cell r="G20">
            <v>0</v>
          </cell>
        </row>
        <row r="21">
          <cell r="G21">
            <v>5.3999999999999995</v>
          </cell>
        </row>
        <row r="22">
          <cell r="G22">
            <v>1.7999999999999998</v>
          </cell>
        </row>
        <row r="23">
          <cell r="G23">
            <v>0</v>
          </cell>
        </row>
        <row r="24">
          <cell r="G24">
            <v>2.2000000000000002</v>
          </cell>
        </row>
        <row r="25">
          <cell r="G25">
            <v>0</v>
          </cell>
        </row>
        <row r="26">
          <cell r="G26">
            <v>9.2999999999999989</v>
          </cell>
        </row>
        <row r="27">
          <cell r="G27">
            <v>3.3000000000000003</v>
          </cell>
        </row>
      </sheetData>
      <sheetData sheetId="27">
        <row r="19">
          <cell r="G19">
            <v>2.8000000000000003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5.2</v>
          </cell>
        </row>
        <row r="26">
          <cell r="G26">
            <v>0</v>
          </cell>
        </row>
        <row r="27">
          <cell r="G27">
            <v>0.4</v>
          </cell>
        </row>
      </sheetData>
      <sheetData sheetId="28">
        <row r="19">
          <cell r="G19">
            <v>7.2000000000000011</v>
          </cell>
        </row>
        <row r="20">
          <cell r="G20">
            <v>5.6</v>
          </cell>
        </row>
        <row r="21">
          <cell r="G21">
            <v>10.4</v>
          </cell>
        </row>
        <row r="22">
          <cell r="G22">
            <v>8.8699999999999992</v>
          </cell>
        </row>
        <row r="23">
          <cell r="G23">
            <v>5.5500000000000007</v>
          </cell>
        </row>
        <row r="24">
          <cell r="G24">
            <v>7.6</v>
          </cell>
        </row>
        <row r="25">
          <cell r="G25">
            <v>9.5640000000000001</v>
          </cell>
        </row>
        <row r="26">
          <cell r="G26">
            <v>12.600000000000001</v>
          </cell>
        </row>
        <row r="27">
          <cell r="G27">
            <v>18.648</v>
          </cell>
        </row>
      </sheetData>
      <sheetData sheetId="29">
        <row r="19">
          <cell r="G19">
            <v>15.2</v>
          </cell>
        </row>
        <row r="20">
          <cell r="G20">
            <v>13.5</v>
          </cell>
        </row>
        <row r="21">
          <cell r="G21">
            <v>14.200000000000001</v>
          </cell>
        </row>
        <row r="22">
          <cell r="G22">
            <v>17.240000000000002</v>
          </cell>
        </row>
        <row r="23">
          <cell r="G23">
            <v>11.350000000000001</v>
          </cell>
        </row>
        <row r="24">
          <cell r="G24">
            <v>18.899999999999999</v>
          </cell>
        </row>
        <row r="25">
          <cell r="G25">
            <v>18.399999999999999</v>
          </cell>
        </row>
        <row r="26">
          <cell r="G26">
            <v>17</v>
          </cell>
        </row>
        <row r="27">
          <cell r="G27">
            <v>19.548000000000002</v>
          </cell>
        </row>
      </sheetData>
      <sheetData sheetId="30">
        <row r="19">
          <cell r="G19">
            <v>9.1999999999999993</v>
          </cell>
        </row>
        <row r="20">
          <cell r="G20">
            <v>7.7519999999999998</v>
          </cell>
        </row>
        <row r="21">
          <cell r="G21">
            <v>11.4</v>
          </cell>
        </row>
        <row r="22">
          <cell r="G22">
            <v>8.52</v>
          </cell>
        </row>
        <row r="23">
          <cell r="G23">
            <v>4.3000000000000007</v>
          </cell>
        </row>
        <row r="24">
          <cell r="G24">
            <v>4.5</v>
          </cell>
        </row>
        <row r="25">
          <cell r="G25">
            <v>9.1999999999999993</v>
          </cell>
        </row>
        <row r="26">
          <cell r="G26">
            <v>8.3000000000000007</v>
          </cell>
        </row>
        <row r="27">
          <cell r="G27">
            <v>12.649999999999999</v>
          </cell>
        </row>
      </sheetData>
      <sheetData sheetId="31">
        <row r="19">
          <cell r="G19">
            <v>10.6</v>
          </cell>
        </row>
        <row r="20">
          <cell r="G20">
            <v>13.5</v>
          </cell>
        </row>
        <row r="21">
          <cell r="G21">
            <v>12.6</v>
          </cell>
        </row>
        <row r="22">
          <cell r="G22">
            <v>14.8</v>
          </cell>
        </row>
        <row r="23">
          <cell r="G23">
            <v>6</v>
          </cell>
        </row>
        <row r="24">
          <cell r="G24">
            <v>8</v>
          </cell>
        </row>
        <row r="25">
          <cell r="G25">
            <v>14.600000000000001</v>
          </cell>
        </row>
        <row r="26">
          <cell r="G26">
            <v>17.399999999999999</v>
          </cell>
        </row>
        <row r="27">
          <cell r="G27">
            <v>16.247999999999998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ontrol" Target="../activeX/activeX12.xml"/><Relationship Id="rId21" Type="http://schemas.openxmlformats.org/officeDocument/2006/relationships/image" Target="../media/image9.emf"/><Relationship Id="rId42" Type="http://schemas.openxmlformats.org/officeDocument/2006/relationships/control" Target="../activeX/activeX20.xml"/><Relationship Id="rId47" Type="http://schemas.openxmlformats.org/officeDocument/2006/relationships/image" Target="../media/image22.emf"/><Relationship Id="rId63" Type="http://schemas.openxmlformats.org/officeDocument/2006/relationships/image" Target="../media/image30.emf"/><Relationship Id="rId68" Type="http://schemas.openxmlformats.org/officeDocument/2006/relationships/control" Target="../activeX/activeX33.xml"/><Relationship Id="rId84" Type="http://schemas.openxmlformats.org/officeDocument/2006/relationships/control" Target="../activeX/activeX41.xml"/><Relationship Id="rId16" Type="http://schemas.openxmlformats.org/officeDocument/2006/relationships/control" Target="../activeX/activeX7.xml"/><Relationship Id="rId11" Type="http://schemas.openxmlformats.org/officeDocument/2006/relationships/image" Target="../media/image4.emf"/><Relationship Id="rId32" Type="http://schemas.openxmlformats.org/officeDocument/2006/relationships/control" Target="../activeX/activeX15.xml"/><Relationship Id="rId37" Type="http://schemas.openxmlformats.org/officeDocument/2006/relationships/image" Target="../media/image17.emf"/><Relationship Id="rId53" Type="http://schemas.openxmlformats.org/officeDocument/2006/relationships/image" Target="../media/image25.emf"/><Relationship Id="rId58" Type="http://schemas.openxmlformats.org/officeDocument/2006/relationships/control" Target="../activeX/activeX28.xml"/><Relationship Id="rId74" Type="http://schemas.openxmlformats.org/officeDocument/2006/relationships/control" Target="../activeX/activeX36.xml"/><Relationship Id="rId79" Type="http://schemas.openxmlformats.org/officeDocument/2006/relationships/image" Target="../media/image38.emf"/><Relationship Id="rId5" Type="http://schemas.openxmlformats.org/officeDocument/2006/relationships/image" Target="../media/image1.emf"/><Relationship Id="rId19" Type="http://schemas.openxmlformats.org/officeDocument/2006/relationships/image" Target="../media/image8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image" Target="../media/image12.emf"/><Relationship Id="rId30" Type="http://schemas.openxmlformats.org/officeDocument/2006/relationships/control" Target="../activeX/activeX14.xml"/><Relationship Id="rId35" Type="http://schemas.openxmlformats.org/officeDocument/2006/relationships/image" Target="../media/image16.emf"/><Relationship Id="rId43" Type="http://schemas.openxmlformats.org/officeDocument/2006/relationships/image" Target="../media/image20.emf"/><Relationship Id="rId48" Type="http://schemas.openxmlformats.org/officeDocument/2006/relationships/control" Target="../activeX/activeX23.xml"/><Relationship Id="rId56" Type="http://schemas.openxmlformats.org/officeDocument/2006/relationships/control" Target="../activeX/activeX27.xml"/><Relationship Id="rId64" Type="http://schemas.openxmlformats.org/officeDocument/2006/relationships/control" Target="../activeX/activeX31.xml"/><Relationship Id="rId69" Type="http://schemas.openxmlformats.org/officeDocument/2006/relationships/image" Target="../media/image33.emf"/><Relationship Id="rId77" Type="http://schemas.openxmlformats.org/officeDocument/2006/relationships/image" Target="../media/image37.emf"/><Relationship Id="rId8" Type="http://schemas.openxmlformats.org/officeDocument/2006/relationships/control" Target="../activeX/activeX3.xml"/><Relationship Id="rId51" Type="http://schemas.openxmlformats.org/officeDocument/2006/relationships/image" Target="../media/image24.emf"/><Relationship Id="rId72" Type="http://schemas.openxmlformats.org/officeDocument/2006/relationships/control" Target="../activeX/activeX35.xml"/><Relationship Id="rId80" Type="http://schemas.openxmlformats.org/officeDocument/2006/relationships/control" Target="../activeX/activeX39.xml"/><Relationship Id="rId85" Type="http://schemas.openxmlformats.org/officeDocument/2006/relationships/image" Target="../media/image41.emf"/><Relationship Id="rId3" Type="http://schemas.openxmlformats.org/officeDocument/2006/relationships/vmlDrawing" Target="../drawings/vmlDrawing1.vml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38" Type="http://schemas.openxmlformats.org/officeDocument/2006/relationships/control" Target="../activeX/activeX18.xml"/><Relationship Id="rId46" Type="http://schemas.openxmlformats.org/officeDocument/2006/relationships/control" Target="../activeX/activeX22.xml"/><Relationship Id="rId59" Type="http://schemas.openxmlformats.org/officeDocument/2006/relationships/image" Target="../media/image28.emf"/><Relationship Id="rId67" Type="http://schemas.openxmlformats.org/officeDocument/2006/relationships/image" Target="../media/image32.emf"/><Relationship Id="rId20" Type="http://schemas.openxmlformats.org/officeDocument/2006/relationships/control" Target="../activeX/activeX9.xml"/><Relationship Id="rId41" Type="http://schemas.openxmlformats.org/officeDocument/2006/relationships/image" Target="../media/image19.emf"/><Relationship Id="rId54" Type="http://schemas.openxmlformats.org/officeDocument/2006/relationships/control" Target="../activeX/activeX26.xml"/><Relationship Id="rId62" Type="http://schemas.openxmlformats.org/officeDocument/2006/relationships/control" Target="../activeX/activeX30.xml"/><Relationship Id="rId70" Type="http://schemas.openxmlformats.org/officeDocument/2006/relationships/control" Target="../activeX/activeX34.xml"/><Relationship Id="rId75" Type="http://schemas.openxmlformats.org/officeDocument/2006/relationships/image" Target="../media/image36.emf"/><Relationship Id="rId83" Type="http://schemas.openxmlformats.org/officeDocument/2006/relationships/image" Target="../media/image40.emf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control" Target="../activeX/activeX13.xml"/><Relationship Id="rId36" Type="http://schemas.openxmlformats.org/officeDocument/2006/relationships/control" Target="../activeX/activeX17.xml"/><Relationship Id="rId49" Type="http://schemas.openxmlformats.org/officeDocument/2006/relationships/image" Target="../media/image23.emf"/><Relationship Id="rId57" Type="http://schemas.openxmlformats.org/officeDocument/2006/relationships/image" Target="../media/image27.emf"/><Relationship Id="rId10" Type="http://schemas.openxmlformats.org/officeDocument/2006/relationships/control" Target="../activeX/activeX4.xml"/><Relationship Id="rId31" Type="http://schemas.openxmlformats.org/officeDocument/2006/relationships/image" Target="../media/image14.emf"/><Relationship Id="rId44" Type="http://schemas.openxmlformats.org/officeDocument/2006/relationships/control" Target="../activeX/activeX21.xml"/><Relationship Id="rId52" Type="http://schemas.openxmlformats.org/officeDocument/2006/relationships/control" Target="../activeX/activeX25.xml"/><Relationship Id="rId60" Type="http://schemas.openxmlformats.org/officeDocument/2006/relationships/control" Target="../activeX/activeX29.xml"/><Relationship Id="rId65" Type="http://schemas.openxmlformats.org/officeDocument/2006/relationships/image" Target="../media/image31.emf"/><Relationship Id="rId73" Type="http://schemas.openxmlformats.org/officeDocument/2006/relationships/image" Target="../media/image35.emf"/><Relationship Id="rId78" Type="http://schemas.openxmlformats.org/officeDocument/2006/relationships/control" Target="../activeX/activeX38.xml"/><Relationship Id="rId81" Type="http://schemas.openxmlformats.org/officeDocument/2006/relationships/image" Target="../media/image39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9" Type="http://schemas.openxmlformats.org/officeDocument/2006/relationships/image" Target="../media/image18.emf"/><Relationship Id="rId34" Type="http://schemas.openxmlformats.org/officeDocument/2006/relationships/control" Target="../activeX/activeX16.xml"/><Relationship Id="rId50" Type="http://schemas.openxmlformats.org/officeDocument/2006/relationships/control" Target="../activeX/activeX24.xml"/><Relationship Id="rId55" Type="http://schemas.openxmlformats.org/officeDocument/2006/relationships/image" Target="../media/image26.emf"/><Relationship Id="rId76" Type="http://schemas.openxmlformats.org/officeDocument/2006/relationships/control" Target="../activeX/activeX37.xml"/><Relationship Id="rId7" Type="http://schemas.openxmlformats.org/officeDocument/2006/relationships/image" Target="../media/image2.emf"/><Relationship Id="rId71" Type="http://schemas.openxmlformats.org/officeDocument/2006/relationships/image" Target="../media/image34.emf"/><Relationship Id="rId2" Type="http://schemas.openxmlformats.org/officeDocument/2006/relationships/drawing" Target="../drawings/drawing1.xml"/><Relationship Id="rId29" Type="http://schemas.openxmlformats.org/officeDocument/2006/relationships/image" Target="../media/image13.emf"/><Relationship Id="rId24" Type="http://schemas.openxmlformats.org/officeDocument/2006/relationships/control" Target="../activeX/activeX11.xml"/><Relationship Id="rId40" Type="http://schemas.openxmlformats.org/officeDocument/2006/relationships/control" Target="../activeX/activeX19.xml"/><Relationship Id="rId45" Type="http://schemas.openxmlformats.org/officeDocument/2006/relationships/image" Target="../media/image21.emf"/><Relationship Id="rId66" Type="http://schemas.openxmlformats.org/officeDocument/2006/relationships/control" Target="../activeX/activeX32.xml"/><Relationship Id="rId61" Type="http://schemas.openxmlformats.org/officeDocument/2006/relationships/image" Target="../media/image29.emf"/><Relationship Id="rId82" Type="http://schemas.openxmlformats.org/officeDocument/2006/relationships/control" Target="../activeX/activeX40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FCA95-5067-4177-90DB-72EEC1F02E60}">
  <sheetPr codeName="Feuil1">
    <tabColor rgb="FFFF0000"/>
  </sheetPr>
  <dimension ref="A1:AJ400"/>
  <sheetViews>
    <sheetView showGridLines="0" zoomScale="80" zoomScaleNormal="80" zoomScaleSheetLayoutView="80" workbookViewId="0">
      <pane xSplit="4" ySplit="8" topLeftCell="AC18" activePane="bottomRight" state="frozen"/>
      <selection activeCell="E31" sqref="E31"/>
      <selection pane="topRight" activeCell="E31" sqref="E31"/>
      <selection pane="bottomLeft" activeCell="E31" sqref="E31"/>
      <selection pane="bottomRight" activeCell="A28" sqref="A28:XFD28"/>
    </sheetView>
  </sheetViews>
  <sheetFormatPr baseColWidth="10" defaultColWidth="11.5546875" defaultRowHeight="14.4"/>
  <cols>
    <col min="1" max="1" width="60.6640625" style="53" customWidth="1"/>
    <col min="2" max="2" width="18" style="53" customWidth="1"/>
    <col min="3" max="3" width="20.109375" style="53" bestFit="1" customWidth="1"/>
    <col min="4" max="4" width="12.5546875" style="53" customWidth="1"/>
    <col min="5" max="5" width="10.6640625" style="52" customWidth="1"/>
    <col min="6" max="6" width="10.109375" style="52" customWidth="1"/>
    <col min="7" max="9" width="9.33203125" style="52" customWidth="1"/>
    <col min="10" max="10" width="10.88671875" style="52" customWidth="1"/>
    <col min="11" max="11" width="12.6640625" style="52" customWidth="1"/>
    <col min="12" max="12" width="9.5546875" style="52" customWidth="1"/>
    <col min="13" max="13" width="8.5546875" style="24" customWidth="1"/>
    <col min="14" max="14" width="13.33203125" style="24" customWidth="1"/>
    <col min="15" max="15" width="10.44140625" style="24" customWidth="1"/>
    <col min="16" max="16" width="8.5546875" style="24" customWidth="1"/>
    <col min="17" max="17" width="14.109375" style="24" customWidth="1"/>
    <col min="18" max="18" width="10.88671875" style="24" customWidth="1"/>
    <col min="19" max="19" width="7" style="24" customWidth="1"/>
    <col min="20" max="20" width="13.33203125" style="24" customWidth="1"/>
    <col min="21" max="21" width="11.5546875" style="24" customWidth="1"/>
    <col min="22" max="22" width="7.109375" style="24" customWidth="1"/>
    <col min="23" max="23" width="13.44140625" style="24" customWidth="1"/>
    <col min="24" max="24" width="10.44140625" style="24" customWidth="1"/>
    <col min="25" max="25" width="7.44140625" style="24" customWidth="1"/>
    <col min="26" max="26" width="14.109375" style="24" customWidth="1"/>
    <col min="27" max="27" width="10.33203125" style="24" customWidth="1"/>
    <col min="28" max="28" width="8.33203125" style="24" customWidth="1"/>
    <col min="29" max="29" width="13" style="24" customWidth="1"/>
    <col min="30" max="30" width="11.6640625" style="24" customWidth="1"/>
    <col min="31" max="31" width="10" style="24" customWidth="1"/>
    <col min="32" max="32" width="16.5546875" style="24" customWidth="1"/>
    <col min="33" max="33" width="10.109375" style="24" customWidth="1"/>
    <col min="34" max="34" width="11.33203125" style="24" customWidth="1"/>
    <col min="35" max="35" width="22.109375" style="24" customWidth="1"/>
    <col min="36" max="16384" width="11.5546875" style="24"/>
  </cols>
  <sheetData>
    <row r="1" spans="1:36" ht="18">
      <c r="A1" s="44" t="s">
        <v>0</v>
      </c>
      <c r="B1" s="45"/>
      <c r="C1" s="45"/>
      <c r="D1" s="45"/>
      <c r="E1" s="46"/>
      <c r="F1" s="48"/>
      <c r="G1" s="48"/>
      <c r="H1" s="48"/>
      <c r="I1" s="48"/>
      <c r="J1" s="48"/>
      <c r="K1" s="48"/>
      <c r="L1" s="48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</row>
    <row r="2" spans="1:36" ht="18">
      <c r="A2" s="44" t="s">
        <v>1</v>
      </c>
      <c r="B2" s="44" t="s">
        <v>90</v>
      </c>
      <c r="C2" s="44"/>
      <c r="D2" s="44"/>
      <c r="E2" s="46"/>
      <c r="F2" s="48"/>
      <c r="G2" s="48"/>
      <c r="H2" s="48"/>
      <c r="I2" s="48"/>
      <c r="J2" s="48"/>
      <c r="K2" s="48"/>
      <c r="L2" s="48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</row>
    <row r="3" spans="1:36" ht="29.1" customHeight="1" thickBot="1">
      <c r="A3" s="185" t="s">
        <v>2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</row>
    <row r="4" spans="1:36" ht="15" customHeight="1" thickBot="1">
      <c r="A4" s="47"/>
      <c r="B4" s="47"/>
      <c r="C4" s="47"/>
      <c r="D4" s="47"/>
      <c r="E4" s="48"/>
      <c r="F4" s="191" t="s">
        <v>3</v>
      </c>
      <c r="G4" s="192"/>
      <c r="H4" s="192"/>
      <c r="I4" s="192"/>
      <c r="J4" s="192"/>
      <c r="K4" s="193"/>
      <c r="L4" s="194" t="s">
        <v>4</v>
      </c>
      <c r="M4" s="195"/>
      <c r="N4" s="195"/>
      <c r="O4" s="195"/>
      <c r="P4" s="195"/>
      <c r="Q4" s="195"/>
      <c r="R4" s="195"/>
      <c r="S4" s="195"/>
      <c r="T4" s="196"/>
      <c r="U4" s="197" t="s">
        <v>5</v>
      </c>
      <c r="V4" s="198"/>
      <c r="W4" s="198"/>
      <c r="X4" s="198"/>
      <c r="Y4" s="198"/>
      <c r="Z4" s="199"/>
      <c r="AA4" s="200" t="s">
        <v>6</v>
      </c>
      <c r="AB4" s="201"/>
      <c r="AC4" s="201"/>
      <c r="AD4" s="201"/>
      <c r="AE4" s="201"/>
      <c r="AF4" s="202"/>
      <c r="AG4" s="23"/>
      <c r="AH4" s="23"/>
    </row>
    <row r="5" spans="1:36">
      <c r="A5" s="187" t="s">
        <v>7</v>
      </c>
      <c r="B5" s="187"/>
      <c r="C5" s="187"/>
      <c r="D5" s="187"/>
      <c r="E5" s="187"/>
      <c r="F5" s="188" t="s">
        <v>8</v>
      </c>
      <c r="G5" s="188"/>
      <c r="H5" s="188"/>
      <c r="I5" s="188" t="s">
        <v>9</v>
      </c>
      <c r="J5" s="188"/>
      <c r="K5" s="188"/>
      <c r="L5" s="189" t="s">
        <v>10</v>
      </c>
      <c r="M5" s="190"/>
      <c r="N5" s="190"/>
      <c r="O5" s="189" t="s">
        <v>11</v>
      </c>
      <c r="P5" s="190"/>
      <c r="Q5" s="190"/>
      <c r="R5" s="189" t="s">
        <v>12</v>
      </c>
      <c r="S5" s="190"/>
      <c r="T5" s="190"/>
      <c r="U5" s="189" t="s">
        <v>13</v>
      </c>
      <c r="V5" s="190"/>
      <c r="W5" s="190"/>
      <c r="X5" s="189" t="s">
        <v>14</v>
      </c>
      <c r="Y5" s="190"/>
      <c r="Z5" s="190"/>
      <c r="AA5" s="189" t="s">
        <v>15</v>
      </c>
      <c r="AB5" s="190"/>
      <c r="AC5" s="190"/>
      <c r="AD5" s="189" t="s">
        <v>16</v>
      </c>
      <c r="AE5" s="190"/>
      <c r="AF5" s="190"/>
    </row>
    <row r="6" spans="1:36" ht="18">
      <c r="A6" s="214" t="s">
        <v>17</v>
      </c>
      <c r="B6" s="214"/>
      <c r="C6" s="214"/>
      <c r="D6" s="214"/>
      <c r="E6" s="214"/>
      <c r="F6" s="215" t="s">
        <v>56</v>
      </c>
      <c r="G6" s="215"/>
      <c r="H6" s="215"/>
      <c r="I6" s="216" t="s">
        <v>164</v>
      </c>
      <c r="J6" s="216"/>
      <c r="K6" s="216"/>
      <c r="L6" s="217" t="s">
        <v>169</v>
      </c>
      <c r="M6" s="217"/>
      <c r="N6" s="217"/>
      <c r="O6" s="218" t="s">
        <v>163</v>
      </c>
      <c r="P6" s="218"/>
      <c r="Q6" s="218"/>
      <c r="R6" s="219" t="s">
        <v>165</v>
      </c>
      <c r="S6" s="219"/>
      <c r="T6" s="219"/>
      <c r="U6" s="220" t="s">
        <v>65</v>
      </c>
      <c r="V6" s="220"/>
      <c r="W6" s="220"/>
      <c r="X6" s="221" t="s">
        <v>66</v>
      </c>
      <c r="Y6" s="221"/>
      <c r="Z6" s="221"/>
      <c r="AA6" s="184" t="s">
        <v>69</v>
      </c>
      <c r="AB6" s="184"/>
      <c r="AC6" s="184"/>
      <c r="AD6" s="210" t="s">
        <v>70</v>
      </c>
      <c r="AE6" s="210"/>
      <c r="AF6" s="211"/>
    </row>
    <row r="7" spans="1:36">
      <c r="A7" s="212" t="s">
        <v>18</v>
      </c>
      <c r="B7" s="212"/>
      <c r="C7" s="42"/>
      <c r="D7" s="42"/>
      <c r="E7" s="61">
        <f>F7+I7+L7+O7+R7+U7+X7+AA7+AD7</f>
        <v>30</v>
      </c>
      <c r="F7" s="213">
        <v>3</v>
      </c>
      <c r="G7" s="213"/>
      <c r="H7" s="213"/>
      <c r="I7" s="213">
        <v>3</v>
      </c>
      <c r="J7" s="213"/>
      <c r="K7" s="213"/>
      <c r="L7" s="203">
        <v>5</v>
      </c>
      <c r="M7" s="204"/>
      <c r="N7" s="204"/>
      <c r="O7" s="203">
        <v>3</v>
      </c>
      <c r="P7" s="204"/>
      <c r="Q7" s="204"/>
      <c r="R7" s="203">
        <v>3</v>
      </c>
      <c r="S7" s="204"/>
      <c r="T7" s="204"/>
      <c r="U7" s="203">
        <v>4</v>
      </c>
      <c r="V7" s="204"/>
      <c r="W7" s="204"/>
      <c r="X7" s="203">
        <v>4</v>
      </c>
      <c r="Y7" s="204"/>
      <c r="Z7" s="204"/>
      <c r="AA7" s="203">
        <v>2</v>
      </c>
      <c r="AB7" s="204"/>
      <c r="AC7" s="204"/>
      <c r="AD7" s="203">
        <v>3</v>
      </c>
      <c r="AE7" s="204"/>
      <c r="AF7" s="204"/>
    </row>
    <row r="8" spans="1:36" ht="53.4" customHeight="1">
      <c r="A8" s="205" t="s">
        <v>19</v>
      </c>
      <c r="B8" s="205"/>
      <c r="C8" s="205"/>
      <c r="D8" s="205"/>
      <c r="E8" s="205"/>
      <c r="F8" s="73" t="s">
        <v>20</v>
      </c>
      <c r="G8" s="74" t="s">
        <v>21</v>
      </c>
      <c r="H8" s="73" t="s">
        <v>22</v>
      </c>
      <c r="I8" s="73" t="s">
        <v>20</v>
      </c>
      <c r="J8" s="74" t="s">
        <v>21</v>
      </c>
      <c r="K8" s="73" t="s">
        <v>22</v>
      </c>
      <c r="L8" s="73" t="s">
        <v>20</v>
      </c>
      <c r="M8" s="26" t="s">
        <v>21</v>
      </c>
      <c r="N8" s="25" t="s">
        <v>22</v>
      </c>
      <c r="O8" s="25" t="s">
        <v>20</v>
      </c>
      <c r="P8" s="26" t="s">
        <v>21</v>
      </c>
      <c r="Q8" s="25" t="s">
        <v>22</v>
      </c>
      <c r="R8" s="25" t="s">
        <v>20</v>
      </c>
      <c r="S8" s="26" t="s">
        <v>21</v>
      </c>
      <c r="T8" s="25" t="s">
        <v>22</v>
      </c>
      <c r="U8" s="25" t="s">
        <v>20</v>
      </c>
      <c r="V8" s="26" t="s">
        <v>21</v>
      </c>
      <c r="W8" s="25" t="s">
        <v>22</v>
      </c>
      <c r="X8" s="25" t="s">
        <v>20</v>
      </c>
      <c r="Y8" s="26" t="s">
        <v>21</v>
      </c>
      <c r="Z8" s="25" t="s">
        <v>22</v>
      </c>
      <c r="AA8" s="25" t="s">
        <v>20</v>
      </c>
      <c r="AB8" s="26" t="s">
        <v>21</v>
      </c>
      <c r="AC8" s="25" t="s">
        <v>22</v>
      </c>
      <c r="AD8" s="25" t="s">
        <v>20</v>
      </c>
      <c r="AE8" s="26" t="s">
        <v>21</v>
      </c>
      <c r="AF8" s="27" t="s">
        <v>22</v>
      </c>
      <c r="AG8" s="206" t="s">
        <v>23</v>
      </c>
      <c r="AH8" s="207"/>
      <c r="AI8" s="208" t="s">
        <v>24</v>
      </c>
      <c r="AJ8" s="209"/>
    </row>
    <row r="9" spans="1:36" ht="18" customHeight="1">
      <c r="A9" s="49" t="s">
        <v>25</v>
      </c>
      <c r="B9" s="50" t="s">
        <v>26</v>
      </c>
      <c r="C9" s="50" t="s">
        <v>27</v>
      </c>
      <c r="D9" s="50" t="s">
        <v>28</v>
      </c>
      <c r="E9" s="51" t="s">
        <v>29</v>
      </c>
      <c r="F9" s="75"/>
      <c r="G9" s="75"/>
      <c r="H9" s="75"/>
      <c r="I9" s="75"/>
      <c r="J9" s="75"/>
      <c r="K9" s="75"/>
      <c r="L9" s="75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183"/>
      <c r="AH9" s="183"/>
      <c r="AI9" s="183"/>
      <c r="AJ9" s="183"/>
    </row>
    <row r="10" spans="1:36" ht="24.9" customHeight="1">
      <c r="A10" s="138" t="s">
        <v>91</v>
      </c>
      <c r="B10" s="139">
        <v>36964</v>
      </c>
      <c r="C10" s="140" t="s">
        <v>81</v>
      </c>
      <c r="D10" s="141" t="s">
        <v>92</v>
      </c>
      <c r="E10" s="55" t="s">
        <v>79</v>
      </c>
      <c r="F10" s="85">
        <v>14</v>
      </c>
      <c r="G10" s="76">
        <f t="shared" ref="G10:G26" si="0">(F10*100%)</f>
        <v>14</v>
      </c>
      <c r="H10" s="77" t="str">
        <f>IF(G10&gt;10,"Validé","Non validé")</f>
        <v>Validé</v>
      </c>
      <c r="I10" s="79">
        <v>20</v>
      </c>
      <c r="J10" s="76">
        <f>I10*100%</f>
        <v>20</v>
      </c>
      <c r="K10" s="77" t="str">
        <f>IF(J10&gt;10,"Validé","Non validé")</f>
        <v>Validé</v>
      </c>
      <c r="L10" s="86">
        <v>11</v>
      </c>
      <c r="M10" s="62">
        <f>L10*100%</f>
        <v>11</v>
      </c>
      <c r="N10" s="63" t="str">
        <f t="shared" ref="N10:N27" si="1">IF(M10&gt;9.99,"Validé","Non validé")</f>
        <v>Validé</v>
      </c>
      <c r="O10" s="72"/>
      <c r="P10" s="62">
        <f>O10*100%</f>
        <v>0</v>
      </c>
      <c r="Q10" s="63" t="str">
        <f>IF(P10&gt;10,"Validé","Non validé")</f>
        <v>Non validé</v>
      </c>
      <c r="R10" s="72">
        <v>2</v>
      </c>
      <c r="S10" s="62">
        <f>R10*100%</f>
        <v>2</v>
      </c>
      <c r="T10" s="63" t="str">
        <f>IF(S10&gt;10,"Validé","Non validé")</f>
        <v>Non validé</v>
      </c>
      <c r="U10" s="72">
        <v>9</v>
      </c>
      <c r="V10" s="62">
        <f>U10*100%</f>
        <v>9</v>
      </c>
      <c r="W10" s="63" t="str">
        <f>IF(V10&gt;10,"Validé","Non validé")</f>
        <v>Non validé</v>
      </c>
      <c r="X10" s="72"/>
      <c r="Y10" s="62">
        <f>X10*100%</f>
        <v>0</v>
      </c>
      <c r="Z10" s="63" t="str">
        <f>IF(Y10&gt;10,"Validé","Non validé")</f>
        <v>Non validé</v>
      </c>
      <c r="AA10" s="72"/>
      <c r="AB10" s="62">
        <f>AA10*100%</f>
        <v>0</v>
      </c>
      <c r="AC10" s="63" t="str">
        <f>IF(AB10&gt;10,"Validé","Non validé")</f>
        <v>Non validé</v>
      </c>
      <c r="AD10" s="72"/>
      <c r="AE10" s="64">
        <f>AD10*100%</f>
        <v>0</v>
      </c>
      <c r="AF10" s="65" t="str">
        <f>IF(AE10&gt;10,"Validé","Non validé")</f>
        <v>Non validé</v>
      </c>
      <c r="AG10" s="66">
        <f t="shared" ref="AG10:AG43" si="2">ROUND(((AE10+AB10+Y10+V10+S10+P10+M10+J10+G10)/9),2)</f>
        <v>6.22</v>
      </c>
      <c r="AH10" s="67" t="str">
        <f>IF(AG10&gt;10,"Admis","Ajourné")</f>
        <v>Ajourné</v>
      </c>
      <c r="AI10" s="29"/>
      <c r="AJ10" s="29"/>
    </row>
    <row r="11" spans="1:36" ht="24.9" customHeight="1">
      <c r="A11" s="138" t="s">
        <v>93</v>
      </c>
      <c r="B11" s="139">
        <v>37924</v>
      </c>
      <c r="C11" s="140" t="s">
        <v>81</v>
      </c>
      <c r="D11" s="141" t="s">
        <v>94</v>
      </c>
      <c r="E11" s="55" t="s">
        <v>79</v>
      </c>
      <c r="F11" s="85">
        <v>10</v>
      </c>
      <c r="G11" s="76">
        <f t="shared" si="0"/>
        <v>10</v>
      </c>
      <c r="H11" s="77" t="str">
        <f t="shared" ref="H11:H43" si="3">IF(G11&gt;10,"Validé","Non validé")</f>
        <v>Non validé</v>
      </c>
      <c r="I11" s="79">
        <v>12</v>
      </c>
      <c r="J11" s="76">
        <f t="shared" ref="J11:J43" si="4">I11*100%</f>
        <v>12</v>
      </c>
      <c r="K11" s="77" t="str">
        <f t="shared" ref="K11:K43" si="5">IF(J11&gt;10,"Validé","Non validé")</f>
        <v>Validé</v>
      </c>
      <c r="L11" s="86"/>
      <c r="M11" s="62">
        <f t="shared" ref="M11:M43" si="6">L11*100%</f>
        <v>0</v>
      </c>
      <c r="N11" s="63" t="str">
        <f t="shared" si="1"/>
        <v>Non validé</v>
      </c>
      <c r="O11" s="72">
        <v>2</v>
      </c>
      <c r="P11" s="62">
        <f t="shared" ref="P11:P43" si="7">O11*100%</f>
        <v>2</v>
      </c>
      <c r="Q11" s="63" t="str">
        <f t="shared" ref="Q11:Q43" si="8">IF(P11&gt;10,"Validé","Non validé")</f>
        <v>Non validé</v>
      </c>
      <c r="R11" s="72">
        <v>6</v>
      </c>
      <c r="S11" s="62">
        <f t="shared" ref="S11:S43" si="9">R11*100%</f>
        <v>6</v>
      </c>
      <c r="T11" s="63" t="str">
        <f t="shared" ref="T11:T43" si="10">IF(S11&gt;10,"Validé","Non validé")</f>
        <v>Non validé</v>
      </c>
      <c r="U11" s="72">
        <v>10</v>
      </c>
      <c r="V11" s="62">
        <f t="shared" ref="V11:V43" si="11">U11*100%</f>
        <v>10</v>
      </c>
      <c r="W11" s="63" t="str">
        <f t="shared" ref="W11:W43" si="12">IF(V11&gt;10,"Validé","Non validé")</f>
        <v>Non validé</v>
      </c>
      <c r="X11" s="72"/>
      <c r="Y11" s="62">
        <f t="shared" ref="Y11:Y43" si="13">X11*100%</f>
        <v>0</v>
      </c>
      <c r="Z11" s="63" t="str">
        <f t="shared" ref="Z11:Z43" si="14">IF(Y11&gt;10,"Validé","Non validé")</f>
        <v>Non validé</v>
      </c>
      <c r="AA11" s="72"/>
      <c r="AB11" s="62">
        <f t="shared" ref="AB11:AB43" si="15">AA11*100%</f>
        <v>0</v>
      </c>
      <c r="AC11" s="63" t="str">
        <f t="shared" ref="AC11:AC43" si="16">IF(AB11&gt;10,"Validé","Non validé")</f>
        <v>Non validé</v>
      </c>
      <c r="AD11" s="72"/>
      <c r="AE11" s="64">
        <f t="shared" ref="AE11:AE43" si="17">AD11*100%</f>
        <v>0</v>
      </c>
      <c r="AF11" s="65" t="str">
        <f t="shared" ref="AF11:AF43" si="18">IF(AE11&gt;10,"Validé","Non validé")</f>
        <v>Non validé</v>
      </c>
      <c r="AG11" s="66">
        <f t="shared" si="2"/>
        <v>4.4400000000000004</v>
      </c>
      <c r="AH11" s="67" t="str">
        <f t="shared" ref="AH11:AH43" si="19">IF(AG11&gt;10,"Admis","Ajourné")</f>
        <v>Ajourné</v>
      </c>
      <c r="AI11" s="29"/>
      <c r="AJ11" s="29"/>
    </row>
    <row r="12" spans="1:36" ht="24.9" customHeight="1">
      <c r="A12" s="138" t="s">
        <v>95</v>
      </c>
      <c r="B12" s="139">
        <v>37612</v>
      </c>
      <c r="C12" s="140" t="s">
        <v>81</v>
      </c>
      <c r="D12" s="141" t="s">
        <v>96</v>
      </c>
      <c r="E12" s="55" t="s">
        <v>79</v>
      </c>
      <c r="F12" s="85"/>
      <c r="G12" s="76">
        <f t="shared" si="0"/>
        <v>0</v>
      </c>
      <c r="H12" s="77" t="str">
        <f t="shared" si="3"/>
        <v>Non validé</v>
      </c>
      <c r="I12" s="79"/>
      <c r="J12" s="76">
        <f t="shared" si="4"/>
        <v>0</v>
      </c>
      <c r="K12" s="77" t="str">
        <f t="shared" si="5"/>
        <v>Non validé</v>
      </c>
      <c r="L12" s="86"/>
      <c r="M12" s="62">
        <f t="shared" si="6"/>
        <v>0</v>
      </c>
      <c r="N12" s="63" t="str">
        <f t="shared" si="1"/>
        <v>Non validé</v>
      </c>
      <c r="O12" s="72"/>
      <c r="P12" s="62">
        <f t="shared" si="7"/>
        <v>0</v>
      </c>
      <c r="Q12" s="63" t="str">
        <f t="shared" si="8"/>
        <v>Non validé</v>
      </c>
      <c r="R12" s="72"/>
      <c r="S12" s="62">
        <f t="shared" si="9"/>
        <v>0</v>
      </c>
      <c r="T12" s="63" t="str">
        <f t="shared" si="10"/>
        <v>Non validé</v>
      </c>
      <c r="U12" s="72"/>
      <c r="V12" s="62">
        <f t="shared" si="11"/>
        <v>0</v>
      </c>
      <c r="W12" s="63" t="str">
        <f t="shared" si="12"/>
        <v>Non validé</v>
      </c>
      <c r="X12" s="72"/>
      <c r="Y12" s="62">
        <f t="shared" si="13"/>
        <v>0</v>
      </c>
      <c r="Z12" s="63" t="str">
        <f t="shared" si="14"/>
        <v>Non validé</v>
      </c>
      <c r="AA12" s="72"/>
      <c r="AB12" s="62">
        <f t="shared" si="15"/>
        <v>0</v>
      </c>
      <c r="AC12" s="63" t="str">
        <f t="shared" si="16"/>
        <v>Non validé</v>
      </c>
      <c r="AD12" s="72"/>
      <c r="AE12" s="64">
        <f t="shared" si="17"/>
        <v>0</v>
      </c>
      <c r="AF12" s="65" t="str">
        <f t="shared" si="18"/>
        <v>Non validé</v>
      </c>
      <c r="AG12" s="66">
        <f t="shared" si="2"/>
        <v>0</v>
      </c>
      <c r="AH12" s="67" t="str">
        <f t="shared" si="19"/>
        <v>Ajourné</v>
      </c>
      <c r="AI12" s="29"/>
      <c r="AJ12" s="29"/>
    </row>
    <row r="13" spans="1:36" ht="24.9" customHeight="1">
      <c r="A13" s="138" t="s">
        <v>97</v>
      </c>
      <c r="B13" s="139">
        <v>34981</v>
      </c>
      <c r="C13" s="140" t="s">
        <v>81</v>
      </c>
      <c r="D13" s="141" t="s">
        <v>98</v>
      </c>
      <c r="E13" s="55" t="s">
        <v>79</v>
      </c>
      <c r="F13" s="85"/>
      <c r="G13" s="76">
        <f t="shared" si="0"/>
        <v>0</v>
      </c>
      <c r="H13" s="77" t="str">
        <f t="shared" si="3"/>
        <v>Non validé</v>
      </c>
      <c r="I13" s="79"/>
      <c r="J13" s="76">
        <f t="shared" si="4"/>
        <v>0</v>
      </c>
      <c r="K13" s="77" t="str">
        <f t="shared" si="5"/>
        <v>Non validé</v>
      </c>
      <c r="L13" s="86"/>
      <c r="M13" s="62">
        <f t="shared" si="6"/>
        <v>0</v>
      </c>
      <c r="N13" s="63" t="str">
        <f t="shared" si="1"/>
        <v>Non validé</v>
      </c>
      <c r="O13" s="72"/>
      <c r="P13" s="62">
        <f t="shared" si="7"/>
        <v>0</v>
      </c>
      <c r="Q13" s="63" t="str">
        <f t="shared" si="8"/>
        <v>Non validé</v>
      </c>
      <c r="R13" s="72"/>
      <c r="S13" s="62">
        <f t="shared" si="9"/>
        <v>0</v>
      </c>
      <c r="T13" s="63" t="str">
        <f t="shared" si="10"/>
        <v>Non validé</v>
      </c>
      <c r="U13" s="72"/>
      <c r="V13" s="62">
        <f t="shared" si="11"/>
        <v>0</v>
      </c>
      <c r="W13" s="63" t="str">
        <f t="shared" si="12"/>
        <v>Non validé</v>
      </c>
      <c r="X13" s="72"/>
      <c r="Y13" s="62">
        <f t="shared" si="13"/>
        <v>0</v>
      </c>
      <c r="Z13" s="63" t="str">
        <f t="shared" si="14"/>
        <v>Non validé</v>
      </c>
      <c r="AA13" s="72"/>
      <c r="AB13" s="62">
        <f t="shared" si="15"/>
        <v>0</v>
      </c>
      <c r="AC13" s="63" t="str">
        <f t="shared" si="16"/>
        <v>Non validé</v>
      </c>
      <c r="AD13" s="72"/>
      <c r="AE13" s="64">
        <f t="shared" si="17"/>
        <v>0</v>
      </c>
      <c r="AF13" s="65" t="str">
        <f t="shared" si="18"/>
        <v>Non validé</v>
      </c>
      <c r="AG13" s="66">
        <f t="shared" si="2"/>
        <v>0</v>
      </c>
      <c r="AH13" s="67" t="str">
        <f t="shared" si="19"/>
        <v>Ajourné</v>
      </c>
      <c r="AI13" s="29"/>
      <c r="AJ13" s="29"/>
    </row>
    <row r="14" spans="1:36" ht="24.9" customHeight="1">
      <c r="A14" s="138" t="s">
        <v>99</v>
      </c>
      <c r="B14" s="139">
        <v>39292</v>
      </c>
      <c r="C14" s="140" t="s">
        <v>81</v>
      </c>
      <c r="D14" s="141" t="s">
        <v>100</v>
      </c>
      <c r="E14" s="55" t="s">
        <v>79</v>
      </c>
      <c r="F14" s="85">
        <v>10</v>
      </c>
      <c r="G14" s="76">
        <f t="shared" si="0"/>
        <v>10</v>
      </c>
      <c r="H14" s="77" t="str">
        <f t="shared" si="3"/>
        <v>Non validé</v>
      </c>
      <c r="I14" s="79"/>
      <c r="J14" s="76">
        <f t="shared" si="4"/>
        <v>0</v>
      </c>
      <c r="K14" s="77" t="str">
        <f t="shared" si="5"/>
        <v>Non validé</v>
      </c>
      <c r="L14" s="86"/>
      <c r="M14" s="62">
        <f t="shared" si="6"/>
        <v>0</v>
      </c>
      <c r="N14" s="63" t="str">
        <f t="shared" si="1"/>
        <v>Non validé</v>
      </c>
      <c r="O14" s="72"/>
      <c r="P14" s="62">
        <f t="shared" si="7"/>
        <v>0</v>
      </c>
      <c r="Q14" s="63" t="str">
        <f t="shared" si="8"/>
        <v>Non validé</v>
      </c>
      <c r="R14" s="72">
        <v>6</v>
      </c>
      <c r="S14" s="62">
        <f t="shared" si="9"/>
        <v>6</v>
      </c>
      <c r="T14" s="63" t="str">
        <f t="shared" si="10"/>
        <v>Non validé</v>
      </c>
      <c r="U14" s="72"/>
      <c r="V14" s="62">
        <f t="shared" si="11"/>
        <v>0</v>
      </c>
      <c r="W14" s="63" t="str">
        <f t="shared" si="12"/>
        <v>Non validé</v>
      </c>
      <c r="X14" s="72"/>
      <c r="Y14" s="62">
        <f t="shared" si="13"/>
        <v>0</v>
      </c>
      <c r="Z14" s="63" t="str">
        <f t="shared" si="14"/>
        <v>Non validé</v>
      </c>
      <c r="AA14" s="72"/>
      <c r="AB14" s="62">
        <f t="shared" si="15"/>
        <v>0</v>
      </c>
      <c r="AC14" s="63" t="str">
        <f t="shared" si="16"/>
        <v>Non validé</v>
      </c>
      <c r="AD14" s="72"/>
      <c r="AE14" s="64">
        <f t="shared" si="17"/>
        <v>0</v>
      </c>
      <c r="AF14" s="65" t="str">
        <f t="shared" si="18"/>
        <v>Non validé</v>
      </c>
      <c r="AG14" s="66">
        <f t="shared" si="2"/>
        <v>1.78</v>
      </c>
      <c r="AH14" s="67" t="str">
        <f t="shared" si="19"/>
        <v>Ajourné</v>
      </c>
      <c r="AI14" s="29"/>
      <c r="AJ14" s="29"/>
    </row>
    <row r="15" spans="1:36" ht="24.9" customHeight="1">
      <c r="A15" s="142" t="s">
        <v>101</v>
      </c>
      <c r="B15" s="139">
        <v>38774</v>
      </c>
      <c r="C15" s="140" t="s">
        <v>81</v>
      </c>
      <c r="D15" s="141" t="s">
        <v>102</v>
      </c>
      <c r="E15" s="55" t="s">
        <v>79</v>
      </c>
      <c r="F15" s="85"/>
      <c r="G15" s="76">
        <f t="shared" si="0"/>
        <v>0</v>
      </c>
      <c r="H15" s="77" t="str">
        <f t="shared" si="3"/>
        <v>Non validé</v>
      </c>
      <c r="I15" s="79"/>
      <c r="J15" s="76">
        <f t="shared" si="4"/>
        <v>0</v>
      </c>
      <c r="K15" s="77" t="str">
        <f t="shared" si="5"/>
        <v>Non validé</v>
      </c>
      <c r="L15" s="86"/>
      <c r="M15" s="62">
        <f t="shared" si="6"/>
        <v>0</v>
      </c>
      <c r="N15" s="63" t="str">
        <f t="shared" si="1"/>
        <v>Non validé</v>
      </c>
      <c r="O15" s="72"/>
      <c r="P15" s="62">
        <f t="shared" si="7"/>
        <v>0</v>
      </c>
      <c r="Q15" s="63" t="str">
        <f t="shared" si="8"/>
        <v>Non validé</v>
      </c>
      <c r="R15" s="72">
        <v>9</v>
      </c>
      <c r="S15" s="62">
        <f t="shared" si="9"/>
        <v>9</v>
      </c>
      <c r="T15" s="63" t="str">
        <f t="shared" si="10"/>
        <v>Non validé</v>
      </c>
      <c r="U15" s="72"/>
      <c r="V15" s="62">
        <f t="shared" si="11"/>
        <v>0</v>
      </c>
      <c r="W15" s="63" t="str">
        <f t="shared" si="12"/>
        <v>Non validé</v>
      </c>
      <c r="X15" s="72"/>
      <c r="Y15" s="62">
        <f t="shared" si="13"/>
        <v>0</v>
      </c>
      <c r="Z15" s="63" t="str">
        <f t="shared" si="14"/>
        <v>Non validé</v>
      </c>
      <c r="AA15" s="72"/>
      <c r="AB15" s="62">
        <f t="shared" si="15"/>
        <v>0</v>
      </c>
      <c r="AC15" s="63" t="str">
        <f t="shared" si="16"/>
        <v>Non validé</v>
      </c>
      <c r="AD15" s="72"/>
      <c r="AE15" s="64">
        <f t="shared" si="17"/>
        <v>0</v>
      </c>
      <c r="AF15" s="65" t="str">
        <f t="shared" si="18"/>
        <v>Non validé</v>
      </c>
      <c r="AG15" s="66">
        <f t="shared" si="2"/>
        <v>1</v>
      </c>
      <c r="AH15" s="67" t="str">
        <f t="shared" si="19"/>
        <v>Ajourné</v>
      </c>
      <c r="AI15" s="29"/>
      <c r="AJ15" s="29"/>
    </row>
    <row r="16" spans="1:36" ht="24.9" customHeight="1">
      <c r="A16" s="143" t="s">
        <v>170</v>
      </c>
      <c r="B16" s="139">
        <v>38438</v>
      </c>
      <c r="C16" s="140" t="s">
        <v>103</v>
      </c>
      <c r="D16" s="141" t="s">
        <v>104</v>
      </c>
      <c r="E16" s="55" t="s">
        <v>79</v>
      </c>
      <c r="F16" s="85"/>
      <c r="G16" s="76">
        <f t="shared" si="0"/>
        <v>0</v>
      </c>
      <c r="H16" s="77" t="str">
        <f t="shared" si="3"/>
        <v>Non validé</v>
      </c>
      <c r="I16" s="79"/>
      <c r="J16" s="76">
        <f t="shared" si="4"/>
        <v>0</v>
      </c>
      <c r="K16" s="77" t="str">
        <f t="shared" si="5"/>
        <v>Non validé</v>
      </c>
      <c r="L16" s="86"/>
      <c r="M16" s="62">
        <f t="shared" si="6"/>
        <v>0</v>
      </c>
      <c r="N16" s="63" t="str">
        <f t="shared" si="1"/>
        <v>Non validé</v>
      </c>
      <c r="O16" s="72"/>
      <c r="P16" s="62">
        <f t="shared" si="7"/>
        <v>0</v>
      </c>
      <c r="Q16" s="63" t="str">
        <f t="shared" si="8"/>
        <v>Non validé</v>
      </c>
      <c r="R16" s="72">
        <v>7</v>
      </c>
      <c r="S16" s="62">
        <f t="shared" si="9"/>
        <v>7</v>
      </c>
      <c r="T16" s="63" t="str">
        <f t="shared" si="10"/>
        <v>Non validé</v>
      </c>
      <c r="U16" s="72"/>
      <c r="V16" s="62">
        <f t="shared" si="11"/>
        <v>0</v>
      </c>
      <c r="W16" s="63" t="str">
        <f t="shared" si="12"/>
        <v>Non validé</v>
      </c>
      <c r="X16" s="72"/>
      <c r="Y16" s="62">
        <f t="shared" si="13"/>
        <v>0</v>
      </c>
      <c r="Z16" s="63" t="str">
        <f t="shared" si="14"/>
        <v>Non validé</v>
      </c>
      <c r="AA16" s="72"/>
      <c r="AB16" s="62">
        <f t="shared" si="15"/>
        <v>0</v>
      </c>
      <c r="AC16" s="63" t="str">
        <f t="shared" si="16"/>
        <v>Non validé</v>
      </c>
      <c r="AD16" s="72"/>
      <c r="AE16" s="64">
        <f t="shared" si="17"/>
        <v>0</v>
      </c>
      <c r="AF16" s="65" t="str">
        <f t="shared" si="18"/>
        <v>Non validé</v>
      </c>
      <c r="AG16" s="66">
        <f t="shared" si="2"/>
        <v>0.78</v>
      </c>
      <c r="AH16" s="67" t="str">
        <f t="shared" si="19"/>
        <v>Ajourné</v>
      </c>
      <c r="AI16" s="29"/>
      <c r="AJ16" s="29"/>
    </row>
    <row r="17" spans="1:36" ht="24.9" customHeight="1">
      <c r="A17" s="138" t="s">
        <v>105</v>
      </c>
      <c r="B17" s="139">
        <v>38726</v>
      </c>
      <c r="C17" s="140" t="s">
        <v>81</v>
      </c>
      <c r="D17" s="141" t="s">
        <v>106</v>
      </c>
      <c r="E17" s="55" t="s">
        <v>79</v>
      </c>
      <c r="F17" s="85"/>
      <c r="G17" s="76">
        <f t="shared" si="0"/>
        <v>0</v>
      </c>
      <c r="H17" s="77" t="str">
        <f t="shared" si="3"/>
        <v>Non validé</v>
      </c>
      <c r="I17" s="79"/>
      <c r="J17" s="76">
        <f t="shared" si="4"/>
        <v>0</v>
      </c>
      <c r="K17" s="77" t="str">
        <f t="shared" si="5"/>
        <v>Non validé</v>
      </c>
      <c r="L17" s="86"/>
      <c r="M17" s="62">
        <f t="shared" si="6"/>
        <v>0</v>
      </c>
      <c r="N17" s="63" t="str">
        <f t="shared" si="1"/>
        <v>Non validé</v>
      </c>
      <c r="O17" s="72"/>
      <c r="P17" s="62">
        <f t="shared" si="7"/>
        <v>0</v>
      </c>
      <c r="Q17" s="63" t="str">
        <f t="shared" si="8"/>
        <v>Non validé</v>
      </c>
      <c r="R17" s="72"/>
      <c r="S17" s="62">
        <f t="shared" si="9"/>
        <v>0</v>
      </c>
      <c r="T17" s="63" t="str">
        <f t="shared" si="10"/>
        <v>Non validé</v>
      </c>
      <c r="U17" s="72"/>
      <c r="V17" s="62">
        <f t="shared" si="11"/>
        <v>0</v>
      </c>
      <c r="W17" s="63" t="str">
        <f t="shared" si="12"/>
        <v>Non validé</v>
      </c>
      <c r="X17" s="72"/>
      <c r="Y17" s="62">
        <f t="shared" si="13"/>
        <v>0</v>
      </c>
      <c r="Z17" s="63" t="str">
        <f t="shared" si="14"/>
        <v>Non validé</v>
      </c>
      <c r="AA17" s="72"/>
      <c r="AB17" s="62">
        <f t="shared" si="15"/>
        <v>0</v>
      </c>
      <c r="AC17" s="63" t="str">
        <f t="shared" si="16"/>
        <v>Non validé</v>
      </c>
      <c r="AD17" s="72"/>
      <c r="AE17" s="64">
        <f t="shared" si="17"/>
        <v>0</v>
      </c>
      <c r="AF17" s="65" t="str">
        <f t="shared" si="18"/>
        <v>Non validé</v>
      </c>
      <c r="AG17" s="66">
        <f t="shared" si="2"/>
        <v>0</v>
      </c>
      <c r="AH17" s="67" t="str">
        <f t="shared" si="19"/>
        <v>Ajourné</v>
      </c>
      <c r="AI17" s="29"/>
      <c r="AJ17" s="29"/>
    </row>
    <row r="18" spans="1:36" ht="24.9" customHeight="1">
      <c r="A18" s="138" t="s">
        <v>107</v>
      </c>
      <c r="B18" s="139">
        <v>36574</v>
      </c>
      <c r="C18" s="140" t="s">
        <v>81</v>
      </c>
      <c r="D18" s="141" t="s">
        <v>108</v>
      </c>
      <c r="E18" s="55" t="s">
        <v>79</v>
      </c>
      <c r="F18" s="85"/>
      <c r="G18" s="76">
        <f t="shared" si="0"/>
        <v>0</v>
      </c>
      <c r="H18" s="77" t="str">
        <f t="shared" si="3"/>
        <v>Non validé</v>
      </c>
      <c r="I18" s="79"/>
      <c r="J18" s="76">
        <f t="shared" si="4"/>
        <v>0</v>
      </c>
      <c r="K18" s="77" t="str">
        <f t="shared" si="5"/>
        <v>Non validé</v>
      </c>
      <c r="L18" s="86"/>
      <c r="M18" s="62">
        <f t="shared" si="6"/>
        <v>0</v>
      </c>
      <c r="N18" s="63" t="str">
        <f t="shared" si="1"/>
        <v>Non validé</v>
      </c>
      <c r="O18" s="72">
        <v>4</v>
      </c>
      <c r="P18" s="62">
        <f t="shared" si="7"/>
        <v>4</v>
      </c>
      <c r="Q18" s="63" t="str">
        <f t="shared" si="8"/>
        <v>Non validé</v>
      </c>
      <c r="R18" s="72"/>
      <c r="S18" s="62">
        <f t="shared" si="9"/>
        <v>0</v>
      </c>
      <c r="T18" s="63" t="str">
        <f t="shared" si="10"/>
        <v>Non validé</v>
      </c>
      <c r="U18" s="72"/>
      <c r="V18" s="62">
        <f t="shared" si="11"/>
        <v>0</v>
      </c>
      <c r="W18" s="63" t="str">
        <f t="shared" si="12"/>
        <v>Non validé</v>
      </c>
      <c r="X18" s="72"/>
      <c r="Y18" s="62">
        <f t="shared" si="13"/>
        <v>0</v>
      </c>
      <c r="Z18" s="63" t="str">
        <f t="shared" si="14"/>
        <v>Non validé</v>
      </c>
      <c r="AA18" s="72"/>
      <c r="AB18" s="62">
        <f t="shared" si="15"/>
        <v>0</v>
      </c>
      <c r="AC18" s="63" t="str">
        <f t="shared" si="16"/>
        <v>Non validé</v>
      </c>
      <c r="AD18" s="72"/>
      <c r="AE18" s="64">
        <f t="shared" si="17"/>
        <v>0</v>
      </c>
      <c r="AF18" s="65" t="str">
        <f t="shared" si="18"/>
        <v>Non validé</v>
      </c>
      <c r="AG18" s="66">
        <f t="shared" si="2"/>
        <v>0.44</v>
      </c>
      <c r="AH18" s="67" t="str">
        <f t="shared" si="19"/>
        <v>Ajourné</v>
      </c>
      <c r="AI18" s="29"/>
      <c r="AJ18" s="29"/>
    </row>
    <row r="19" spans="1:36" ht="24.9" customHeight="1">
      <c r="A19" s="138" t="s">
        <v>109</v>
      </c>
      <c r="B19" s="139">
        <v>39115</v>
      </c>
      <c r="C19" s="140" t="s">
        <v>81</v>
      </c>
      <c r="D19" s="141" t="s">
        <v>110</v>
      </c>
      <c r="E19" s="55" t="s">
        <v>79</v>
      </c>
      <c r="F19" s="85">
        <v>9.5</v>
      </c>
      <c r="G19" s="76">
        <f t="shared" si="0"/>
        <v>9.5</v>
      </c>
      <c r="H19" s="77" t="str">
        <f t="shared" si="3"/>
        <v>Non validé</v>
      </c>
      <c r="I19" s="79"/>
      <c r="J19" s="76">
        <f t="shared" si="4"/>
        <v>0</v>
      </c>
      <c r="K19" s="77" t="str">
        <f t="shared" si="5"/>
        <v>Non validé</v>
      </c>
      <c r="L19" s="86"/>
      <c r="M19" s="62">
        <f t="shared" si="6"/>
        <v>0</v>
      </c>
      <c r="N19" s="63" t="str">
        <f t="shared" si="1"/>
        <v>Non validé</v>
      </c>
      <c r="O19" s="72"/>
      <c r="P19" s="62">
        <f t="shared" si="7"/>
        <v>0</v>
      </c>
      <c r="Q19" s="63" t="str">
        <f t="shared" si="8"/>
        <v>Non validé</v>
      </c>
      <c r="R19" s="72">
        <v>11</v>
      </c>
      <c r="S19" s="62">
        <f t="shared" si="9"/>
        <v>11</v>
      </c>
      <c r="T19" s="63" t="str">
        <f t="shared" si="10"/>
        <v>Validé</v>
      </c>
      <c r="U19" s="72"/>
      <c r="V19" s="62">
        <f t="shared" si="11"/>
        <v>0</v>
      </c>
      <c r="W19" s="63" t="str">
        <f t="shared" si="12"/>
        <v>Non validé</v>
      </c>
      <c r="X19" s="72"/>
      <c r="Y19" s="62">
        <f t="shared" si="13"/>
        <v>0</v>
      </c>
      <c r="Z19" s="63" t="str">
        <f t="shared" si="14"/>
        <v>Non validé</v>
      </c>
      <c r="AA19" s="72"/>
      <c r="AB19" s="62">
        <f t="shared" si="15"/>
        <v>0</v>
      </c>
      <c r="AC19" s="63" t="str">
        <f t="shared" si="16"/>
        <v>Non validé</v>
      </c>
      <c r="AD19" s="72"/>
      <c r="AE19" s="64">
        <f t="shared" si="17"/>
        <v>0</v>
      </c>
      <c r="AF19" s="65" t="str">
        <f t="shared" si="18"/>
        <v>Non validé</v>
      </c>
      <c r="AG19" s="66">
        <f t="shared" si="2"/>
        <v>2.2799999999999998</v>
      </c>
      <c r="AH19" s="67" t="str">
        <f t="shared" si="19"/>
        <v>Ajourné</v>
      </c>
      <c r="AI19" s="29"/>
      <c r="AJ19" s="29"/>
    </row>
    <row r="20" spans="1:36" ht="24.9" customHeight="1">
      <c r="A20" s="142" t="s">
        <v>111</v>
      </c>
      <c r="B20" s="139">
        <v>39115</v>
      </c>
      <c r="C20" s="140" t="s">
        <v>81</v>
      </c>
      <c r="D20" s="141" t="s">
        <v>112</v>
      </c>
      <c r="E20" s="55" t="s">
        <v>79</v>
      </c>
      <c r="F20" s="85"/>
      <c r="G20" s="76">
        <f t="shared" si="0"/>
        <v>0</v>
      </c>
      <c r="H20" s="77" t="str">
        <f t="shared" si="3"/>
        <v>Non validé</v>
      </c>
      <c r="I20" s="79"/>
      <c r="J20" s="76">
        <f t="shared" si="4"/>
        <v>0</v>
      </c>
      <c r="K20" s="77" t="str">
        <f t="shared" si="5"/>
        <v>Non validé</v>
      </c>
      <c r="L20" s="86"/>
      <c r="M20" s="62">
        <f t="shared" si="6"/>
        <v>0</v>
      </c>
      <c r="N20" s="63" t="str">
        <f t="shared" si="1"/>
        <v>Non validé</v>
      </c>
      <c r="O20" s="72"/>
      <c r="P20" s="62">
        <f t="shared" si="7"/>
        <v>0</v>
      </c>
      <c r="Q20" s="63" t="str">
        <f t="shared" si="8"/>
        <v>Non validé</v>
      </c>
      <c r="R20" s="72"/>
      <c r="S20" s="62">
        <f t="shared" si="9"/>
        <v>0</v>
      </c>
      <c r="T20" s="63" t="str">
        <f t="shared" si="10"/>
        <v>Non validé</v>
      </c>
      <c r="U20" s="72"/>
      <c r="V20" s="62">
        <f t="shared" si="11"/>
        <v>0</v>
      </c>
      <c r="W20" s="63" t="str">
        <f t="shared" si="12"/>
        <v>Non validé</v>
      </c>
      <c r="X20" s="72"/>
      <c r="Y20" s="62">
        <f t="shared" si="13"/>
        <v>0</v>
      </c>
      <c r="Z20" s="63" t="str">
        <f t="shared" si="14"/>
        <v>Non validé</v>
      </c>
      <c r="AA20" s="72"/>
      <c r="AB20" s="62">
        <f t="shared" si="15"/>
        <v>0</v>
      </c>
      <c r="AC20" s="63" t="str">
        <f t="shared" si="16"/>
        <v>Non validé</v>
      </c>
      <c r="AD20" s="72"/>
      <c r="AE20" s="64">
        <f t="shared" si="17"/>
        <v>0</v>
      </c>
      <c r="AF20" s="65" t="str">
        <f>IF(AE20&gt;9.99,"Validé","Non validé")</f>
        <v>Non validé</v>
      </c>
      <c r="AG20" s="66">
        <f t="shared" si="2"/>
        <v>0</v>
      </c>
      <c r="AH20" s="67" t="str">
        <f t="shared" si="19"/>
        <v>Ajourné</v>
      </c>
      <c r="AI20" s="29"/>
      <c r="AJ20" s="29"/>
    </row>
    <row r="21" spans="1:36" ht="24.9" customHeight="1">
      <c r="A21" s="138" t="s">
        <v>113</v>
      </c>
      <c r="B21" s="139">
        <v>38527</v>
      </c>
      <c r="C21" s="140" t="s">
        <v>81</v>
      </c>
      <c r="D21" s="141" t="s">
        <v>114</v>
      </c>
      <c r="E21" s="55" t="s">
        <v>79</v>
      </c>
      <c r="F21" s="85">
        <v>7.5</v>
      </c>
      <c r="G21" s="76">
        <f t="shared" si="0"/>
        <v>7.5</v>
      </c>
      <c r="H21" s="77" t="str">
        <f t="shared" si="3"/>
        <v>Non validé</v>
      </c>
      <c r="I21" s="79">
        <v>14</v>
      </c>
      <c r="J21" s="76">
        <f t="shared" si="4"/>
        <v>14</v>
      </c>
      <c r="K21" s="77" t="str">
        <f t="shared" si="5"/>
        <v>Validé</v>
      </c>
      <c r="L21" s="86">
        <v>8</v>
      </c>
      <c r="M21" s="62">
        <f t="shared" si="6"/>
        <v>8</v>
      </c>
      <c r="N21" s="63" t="str">
        <f t="shared" si="1"/>
        <v>Non validé</v>
      </c>
      <c r="O21" s="72"/>
      <c r="P21" s="62">
        <f t="shared" si="7"/>
        <v>0</v>
      </c>
      <c r="Q21" s="63" t="str">
        <f t="shared" si="8"/>
        <v>Non validé</v>
      </c>
      <c r="R21" s="72">
        <v>0</v>
      </c>
      <c r="S21" s="62">
        <f t="shared" si="9"/>
        <v>0</v>
      </c>
      <c r="T21" s="63" t="str">
        <f t="shared" si="10"/>
        <v>Non validé</v>
      </c>
      <c r="U21" s="72">
        <v>1</v>
      </c>
      <c r="V21" s="62">
        <f t="shared" si="11"/>
        <v>1</v>
      </c>
      <c r="W21" s="63" t="str">
        <f t="shared" si="12"/>
        <v>Non validé</v>
      </c>
      <c r="X21" s="72"/>
      <c r="Y21" s="62">
        <f t="shared" si="13"/>
        <v>0</v>
      </c>
      <c r="Z21" s="63" t="str">
        <f t="shared" si="14"/>
        <v>Non validé</v>
      </c>
      <c r="AA21" s="72"/>
      <c r="AB21" s="62">
        <f t="shared" si="15"/>
        <v>0</v>
      </c>
      <c r="AC21" s="63" t="str">
        <f t="shared" si="16"/>
        <v>Non validé</v>
      </c>
      <c r="AD21" s="72"/>
      <c r="AE21" s="64">
        <f t="shared" si="17"/>
        <v>0</v>
      </c>
      <c r="AF21" s="65" t="str">
        <f t="shared" si="18"/>
        <v>Non validé</v>
      </c>
      <c r="AG21" s="66">
        <f t="shared" si="2"/>
        <v>3.39</v>
      </c>
      <c r="AH21" s="67" t="str">
        <f t="shared" si="19"/>
        <v>Ajourné</v>
      </c>
      <c r="AI21" s="29"/>
      <c r="AJ21" s="29"/>
    </row>
    <row r="22" spans="1:36" ht="24.9" customHeight="1">
      <c r="A22" s="138" t="s">
        <v>115</v>
      </c>
      <c r="B22" s="139">
        <v>38014</v>
      </c>
      <c r="C22" s="140" t="s">
        <v>81</v>
      </c>
      <c r="D22" s="141" t="s">
        <v>116</v>
      </c>
      <c r="E22" s="55" t="s">
        <v>79</v>
      </c>
      <c r="F22" s="85">
        <v>10</v>
      </c>
      <c r="G22" s="76">
        <f t="shared" si="0"/>
        <v>10</v>
      </c>
      <c r="H22" s="77" t="str">
        <f t="shared" si="3"/>
        <v>Non validé</v>
      </c>
      <c r="I22" s="79">
        <v>13</v>
      </c>
      <c r="J22" s="76">
        <f t="shared" si="4"/>
        <v>13</v>
      </c>
      <c r="K22" s="77" t="str">
        <f t="shared" si="5"/>
        <v>Validé</v>
      </c>
      <c r="L22" s="86">
        <v>11</v>
      </c>
      <c r="M22" s="62">
        <f t="shared" si="6"/>
        <v>11</v>
      </c>
      <c r="N22" s="63" t="str">
        <f t="shared" si="1"/>
        <v>Validé</v>
      </c>
      <c r="O22" s="72">
        <v>1</v>
      </c>
      <c r="P22" s="62">
        <f t="shared" si="7"/>
        <v>1</v>
      </c>
      <c r="Q22" s="63" t="str">
        <f t="shared" si="8"/>
        <v>Non validé</v>
      </c>
      <c r="R22" s="72">
        <v>5</v>
      </c>
      <c r="S22" s="62">
        <f t="shared" si="9"/>
        <v>5</v>
      </c>
      <c r="T22" s="63" t="str">
        <f t="shared" si="10"/>
        <v>Non validé</v>
      </c>
      <c r="U22" s="72">
        <v>9.75</v>
      </c>
      <c r="V22" s="62">
        <f t="shared" si="11"/>
        <v>9.75</v>
      </c>
      <c r="W22" s="63" t="str">
        <f t="shared" si="12"/>
        <v>Non validé</v>
      </c>
      <c r="X22" s="72"/>
      <c r="Y22" s="62">
        <f t="shared" si="13"/>
        <v>0</v>
      </c>
      <c r="Z22" s="63" t="str">
        <f t="shared" si="14"/>
        <v>Non validé</v>
      </c>
      <c r="AA22" s="72"/>
      <c r="AB22" s="62">
        <f t="shared" si="15"/>
        <v>0</v>
      </c>
      <c r="AC22" s="63" t="str">
        <f t="shared" si="16"/>
        <v>Non validé</v>
      </c>
      <c r="AD22" s="72"/>
      <c r="AE22" s="64">
        <f t="shared" si="17"/>
        <v>0</v>
      </c>
      <c r="AF22" s="65" t="str">
        <f t="shared" si="18"/>
        <v>Non validé</v>
      </c>
      <c r="AG22" s="66">
        <f t="shared" si="2"/>
        <v>5.53</v>
      </c>
      <c r="AH22" s="67" t="str">
        <f t="shared" si="19"/>
        <v>Ajourné</v>
      </c>
      <c r="AI22" s="29"/>
      <c r="AJ22" s="29"/>
    </row>
    <row r="23" spans="1:36" ht="24.9" hidden="1" customHeight="1">
      <c r="A23" s="142" t="s">
        <v>117</v>
      </c>
      <c r="B23" s="144"/>
      <c r="C23" s="140" t="s">
        <v>81</v>
      </c>
      <c r="D23" s="141" t="s">
        <v>118</v>
      </c>
      <c r="E23" s="55" t="s">
        <v>79</v>
      </c>
      <c r="F23" s="85"/>
      <c r="G23" s="76">
        <f t="shared" si="0"/>
        <v>0</v>
      </c>
      <c r="H23" s="77" t="str">
        <f t="shared" si="3"/>
        <v>Non validé</v>
      </c>
      <c r="I23" s="79"/>
      <c r="J23" s="76">
        <f t="shared" si="4"/>
        <v>0</v>
      </c>
      <c r="K23" s="77" t="str">
        <f t="shared" si="5"/>
        <v>Non validé</v>
      </c>
      <c r="L23" s="86"/>
      <c r="M23" s="62">
        <f t="shared" si="6"/>
        <v>0</v>
      </c>
      <c r="N23" s="63" t="str">
        <f t="shared" si="1"/>
        <v>Non validé</v>
      </c>
      <c r="O23" s="72"/>
      <c r="P23" s="62">
        <f t="shared" si="7"/>
        <v>0</v>
      </c>
      <c r="Q23" s="63" t="str">
        <f t="shared" si="8"/>
        <v>Non validé</v>
      </c>
      <c r="R23" s="72"/>
      <c r="S23" s="62">
        <f t="shared" si="9"/>
        <v>0</v>
      </c>
      <c r="T23" s="63" t="str">
        <f t="shared" si="10"/>
        <v>Non validé</v>
      </c>
      <c r="U23" s="72"/>
      <c r="V23" s="62">
        <f t="shared" si="11"/>
        <v>0</v>
      </c>
      <c r="W23" s="63" t="str">
        <f t="shared" si="12"/>
        <v>Non validé</v>
      </c>
      <c r="X23" s="72"/>
      <c r="Y23" s="62">
        <f t="shared" si="13"/>
        <v>0</v>
      </c>
      <c r="Z23" s="63" t="str">
        <f t="shared" si="14"/>
        <v>Non validé</v>
      </c>
      <c r="AA23" s="72"/>
      <c r="AB23" s="62">
        <f t="shared" si="15"/>
        <v>0</v>
      </c>
      <c r="AC23" s="63" t="str">
        <f t="shared" si="16"/>
        <v>Non validé</v>
      </c>
      <c r="AD23" s="72"/>
      <c r="AE23" s="64">
        <f t="shared" si="17"/>
        <v>0</v>
      </c>
      <c r="AF23" s="65" t="str">
        <f t="shared" si="18"/>
        <v>Non validé</v>
      </c>
      <c r="AG23" s="66">
        <f t="shared" si="2"/>
        <v>0</v>
      </c>
      <c r="AH23" s="67" t="str">
        <f t="shared" si="19"/>
        <v>Ajourné</v>
      </c>
      <c r="AI23" s="29"/>
      <c r="AJ23" s="29"/>
    </row>
    <row r="24" spans="1:36" ht="24.9" customHeight="1">
      <c r="A24" s="138" t="s">
        <v>119</v>
      </c>
      <c r="B24" s="139">
        <v>38843</v>
      </c>
      <c r="C24" s="140" t="s">
        <v>81</v>
      </c>
      <c r="D24" s="141" t="s">
        <v>120</v>
      </c>
      <c r="E24" s="55" t="s">
        <v>79</v>
      </c>
      <c r="F24" s="85">
        <v>10</v>
      </c>
      <c r="G24" s="76">
        <f t="shared" si="0"/>
        <v>10</v>
      </c>
      <c r="H24" s="77" t="str">
        <f t="shared" si="3"/>
        <v>Non validé</v>
      </c>
      <c r="I24" s="79">
        <v>14</v>
      </c>
      <c r="J24" s="76">
        <f t="shared" si="4"/>
        <v>14</v>
      </c>
      <c r="K24" s="77" t="str">
        <f t="shared" si="5"/>
        <v>Validé</v>
      </c>
      <c r="L24" s="86">
        <v>13</v>
      </c>
      <c r="M24" s="62">
        <f t="shared" si="6"/>
        <v>13</v>
      </c>
      <c r="N24" s="63" t="str">
        <f t="shared" si="1"/>
        <v>Validé</v>
      </c>
      <c r="O24" s="72">
        <v>4</v>
      </c>
      <c r="P24" s="62">
        <f t="shared" si="7"/>
        <v>4</v>
      </c>
      <c r="Q24" s="63" t="str">
        <f t="shared" si="8"/>
        <v>Non validé</v>
      </c>
      <c r="R24" s="72">
        <v>0</v>
      </c>
      <c r="S24" s="62">
        <f t="shared" si="9"/>
        <v>0</v>
      </c>
      <c r="T24" s="63" t="str">
        <f t="shared" si="10"/>
        <v>Non validé</v>
      </c>
      <c r="U24" s="72">
        <v>15</v>
      </c>
      <c r="V24" s="62">
        <f t="shared" si="11"/>
        <v>15</v>
      </c>
      <c r="W24" s="63" t="str">
        <f t="shared" si="12"/>
        <v>Validé</v>
      </c>
      <c r="X24" s="72">
        <v>12</v>
      </c>
      <c r="Y24" s="62">
        <f t="shared" si="13"/>
        <v>12</v>
      </c>
      <c r="Z24" s="63" t="str">
        <f t="shared" si="14"/>
        <v>Validé</v>
      </c>
      <c r="AA24" s="72"/>
      <c r="AB24" s="62">
        <f t="shared" si="15"/>
        <v>0</v>
      </c>
      <c r="AC24" s="63" t="str">
        <f t="shared" si="16"/>
        <v>Non validé</v>
      </c>
      <c r="AD24" s="72"/>
      <c r="AE24" s="64">
        <f t="shared" si="17"/>
        <v>0</v>
      </c>
      <c r="AF24" s="65" t="str">
        <f t="shared" si="18"/>
        <v>Non validé</v>
      </c>
      <c r="AG24" s="66">
        <f t="shared" si="2"/>
        <v>7.56</v>
      </c>
      <c r="AH24" s="67" t="str">
        <f t="shared" si="19"/>
        <v>Ajourné</v>
      </c>
      <c r="AI24" s="29"/>
      <c r="AJ24" s="29"/>
    </row>
    <row r="25" spans="1:36" ht="24.9" customHeight="1">
      <c r="A25" s="138" t="s">
        <v>121</v>
      </c>
      <c r="B25" s="139">
        <v>38524</v>
      </c>
      <c r="C25" s="140" t="s">
        <v>81</v>
      </c>
      <c r="D25" s="141" t="s">
        <v>122</v>
      </c>
      <c r="E25" s="55" t="s">
        <v>79</v>
      </c>
      <c r="F25" s="85"/>
      <c r="G25" s="76">
        <f t="shared" si="0"/>
        <v>0</v>
      </c>
      <c r="H25" s="77" t="str">
        <f t="shared" si="3"/>
        <v>Non validé</v>
      </c>
      <c r="I25" s="79"/>
      <c r="J25" s="76">
        <f t="shared" si="4"/>
        <v>0</v>
      </c>
      <c r="K25" s="77" t="str">
        <f t="shared" si="5"/>
        <v>Non validé</v>
      </c>
      <c r="L25" s="86"/>
      <c r="M25" s="62">
        <f t="shared" si="6"/>
        <v>0</v>
      </c>
      <c r="N25" s="63" t="str">
        <f t="shared" si="1"/>
        <v>Non validé</v>
      </c>
      <c r="O25" s="72"/>
      <c r="P25" s="62">
        <f t="shared" si="7"/>
        <v>0</v>
      </c>
      <c r="Q25" s="63" t="str">
        <f t="shared" si="8"/>
        <v>Non validé</v>
      </c>
      <c r="R25" s="72">
        <v>7</v>
      </c>
      <c r="S25" s="62">
        <f t="shared" si="9"/>
        <v>7</v>
      </c>
      <c r="T25" s="63" t="str">
        <f t="shared" si="10"/>
        <v>Non validé</v>
      </c>
      <c r="U25" s="72">
        <v>12</v>
      </c>
      <c r="V25" s="62">
        <f t="shared" si="11"/>
        <v>12</v>
      </c>
      <c r="W25" s="63" t="str">
        <f t="shared" si="12"/>
        <v>Validé</v>
      </c>
      <c r="X25" s="72">
        <v>14</v>
      </c>
      <c r="Y25" s="62">
        <f t="shared" si="13"/>
        <v>14</v>
      </c>
      <c r="Z25" s="63" t="str">
        <f t="shared" si="14"/>
        <v>Validé</v>
      </c>
      <c r="AA25" s="72"/>
      <c r="AB25" s="62">
        <f t="shared" si="15"/>
        <v>0</v>
      </c>
      <c r="AC25" s="63" t="str">
        <f t="shared" si="16"/>
        <v>Non validé</v>
      </c>
      <c r="AD25" s="72"/>
      <c r="AE25" s="64">
        <f t="shared" si="17"/>
        <v>0</v>
      </c>
      <c r="AF25" s="65" t="str">
        <f t="shared" si="18"/>
        <v>Non validé</v>
      </c>
      <c r="AG25" s="66">
        <f t="shared" si="2"/>
        <v>3.67</v>
      </c>
      <c r="AH25" s="67" t="str">
        <f t="shared" si="19"/>
        <v>Ajourné</v>
      </c>
      <c r="AI25" s="29"/>
      <c r="AJ25" s="29"/>
    </row>
    <row r="26" spans="1:36" ht="24.9" customHeight="1">
      <c r="A26" s="138" t="s">
        <v>123</v>
      </c>
      <c r="B26" s="139">
        <v>39197</v>
      </c>
      <c r="C26" s="140" t="s">
        <v>81</v>
      </c>
      <c r="D26" s="141" t="s">
        <v>124</v>
      </c>
      <c r="E26" s="55" t="s">
        <v>79</v>
      </c>
      <c r="F26" s="85">
        <v>14</v>
      </c>
      <c r="G26" s="76">
        <f t="shared" si="0"/>
        <v>14</v>
      </c>
      <c r="H26" s="77" t="str">
        <f t="shared" si="3"/>
        <v>Validé</v>
      </c>
      <c r="I26" s="79">
        <v>19</v>
      </c>
      <c r="J26" s="76">
        <f t="shared" si="4"/>
        <v>19</v>
      </c>
      <c r="K26" s="77" t="str">
        <f t="shared" si="5"/>
        <v>Validé</v>
      </c>
      <c r="L26" s="86">
        <v>12</v>
      </c>
      <c r="M26" s="62">
        <f t="shared" si="6"/>
        <v>12</v>
      </c>
      <c r="N26" s="63" t="str">
        <f t="shared" si="1"/>
        <v>Validé</v>
      </c>
      <c r="O26" s="72"/>
      <c r="P26" s="62">
        <f t="shared" si="7"/>
        <v>0</v>
      </c>
      <c r="Q26" s="63" t="str">
        <f t="shared" si="8"/>
        <v>Non validé</v>
      </c>
      <c r="R26" s="72">
        <v>3</v>
      </c>
      <c r="S26" s="62">
        <f t="shared" si="9"/>
        <v>3</v>
      </c>
      <c r="T26" s="63" t="str">
        <f t="shared" si="10"/>
        <v>Non validé</v>
      </c>
      <c r="U26" s="72">
        <v>17</v>
      </c>
      <c r="V26" s="62">
        <f t="shared" si="11"/>
        <v>17</v>
      </c>
      <c r="W26" s="63" t="str">
        <f t="shared" si="12"/>
        <v>Validé</v>
      </c>
      <c r="X26" s="72"/>
      <c r="Y26" s="62">
        <f t="shared" si="13"/>
        <v>0</v>
      </c>
      <c r="Z26" s="63" t="str">
        <f t="shared" si="14"/>
        <v>Non validé</v>
      </c>
      <c r="AA26" s="72"/>
      <c r="AB26" s="62">
        <f t="shared" si="15"/>
        <v>0</v>
      </c>
      <c r="AC26" s="63" t="str">
        <f t="shared" si="16"/>
        <v>Non validé</v>
      </c>
      <c r="AD26" s="72"/>
      <c r="AE26" s="64">
        <f t="shared" si="17"/>
        <v>0</v>
      </c>
      <c r="AF26" s="65" t="str">
        <f t="shared" si="18"/>
        <v>Non validé</v>
      </c>
      <c r="AG26" s="66">
        <f t="shared" si="2"/>
        <v>7.22</v>
      </c>
      <c r="AH26" s="67" t="str">
        <f t="shared" si="19"/>
        <v>Ajourné</v>
      </c>
      <c r="AI26" s="29"/>
      <c r="AJ26" s="29"/>
    </row>
    <row r="27" spans="1:36" ht="24.9" customHeight="1">
      <c r="A27" s="138" t="s">
        <v>125</v>
      </c>
      <c r="B27" s="139">
        <v>38893</v>
      </c>
      <c r="C27" s="140" t="s">
        <v>81</v>
      </c>
      <c r="D27" s="141" t="s">
        <v>126</v>
      </c>
      <c r="E27" s="55" t="s">
        <v>79</v>
      </c>
      <c r="F27" s="85"/>
      <c r="G27" s="76">
        <f>(F27*100%)</f>
        <v>0</v>
      </c>
      <c r="H27" s="77" t="str">
        <f t="shared" si="3"/>
        <v>Non validé</v>
      </c>
      <c r="I27" s="79"/>
      <c r="J27" s="76">
        <f t="shared" si="4"/>
        <v>0</v>
      </c>
      <c r="K27" s="77" t="str">
        <f t="shared" si="5"/>
        <v>Non validé</v>
      </c>
      <c r="L27" s="86"/>
      <c r="M27" s="62">
        <f t="shared" si="6"/>
        <v>0</v>
      </c>
      <c r="N27" s="63" t="str">
        <f t="shared" si="1"/>
        <v>Non validé</v>
      </c>
      <c r="O27" s="72"/>
      <c r="P27" s="62">
        <f t="shared" si="7"/>
        <v>0</v>
      </c>
      <c r="Q27" s="63" t="str">
        <f t="shared" si="8"/>
        <v>Non validé</v>
      </c>
      <c r="R27" s="72"/>
      <c r="S27" s="62">
        <f t="shared" si="9"/>
        <v>0</v>
      </c>
      <c r="T27" s="63" t="str">
        <f t="shared" si="10"/>
        <v>Non validé</v>
      </c>
      <c r="U27" s="72"/>
      <c r="V27" s="62">
        <f t="shared" si="11"/>
        <v>0</v>
      </c>
      <c r="W27" s="63" t="str">
        <f t="shared" si="12"/>
        <v>Non validé</v>
      </c>
      <c r="X27" s="72"/>
      <c r="Y27" s="62">
        <f t="shared" si="13"/>
        <v>0</v>
      </c>
      <c r="Z27" s="63" t="str">
        <f t="shared" si="14"/>
        <v>Non validé</v>
      </c>
      <c r="AA27" s="72"/>
      <c r="AB27" s="62">
        <f t="shared" si="15"/>
        <v>0</v>
      </c>
      <c r="AC27" s="63" t="str">
        <f t="shared" si="16"/>
        <v>Non validé</v>
      </c>
      <c r="AD27" s="72"/>
      <c r="AE27" s="64">
        <f t="shared" si="17"/>
        <v>0</v>
      </c>
      <c r="AF27" s="65" t="str">
        <f t="shared" si="18"/>
        <v>Non validé</v>
      </c>
      <c r="AG27" s="66">
        <f t="shared" si="2"/>
        <v>0</v>
      </c>
      <c r="AH27" s="67" t="str">
        <f t="shared" si="19"/>
        <v>Ajourné</v>
      </c>
      <c r="AI27" s="29"/>
      <c r="AJ27" s="29"/>
    </row>
    <row r="28" spans="1:36" ht="24.9" customHeight="1">
      <c r="A28" s="145" t="s">
        <v>127</v>
      </c>
      <c r="B28" s="146">
        <v>35857</v>
      </c>
      <c r="C28" s="147" t="s">
        <v>81</v>
      </c>
      <c r="D28" s="148" t="s">
        <v>128</v>
      </c>
      <c r="E28" s="55" t="s">
        <v>79</v>
      </c>
      <c r="F28" s="85">
        <v>8.5</v>
      </c>
      <c r="G28" s="76">
        <f t="shared" ref="G28:G43" si="20">(F28*100%)</f>
        <v>8.5</v>
      </c>
      <c r="H28" s="77" t="str">
        <f t="shared" si="3"/>
        <v>Non validé</v>
      </c>
      <c r="I28" s="79">
        <v>12</v>
      </c>
      <c r="J28" s="76">
        <f t="shared" si="4"/>
        <v>12</v>
      </c>
      <c r="K28" s="77" t="str">
        <f t="shared" si="5"/>
        <v>Validé</v>
      </c>
      <c r="L28" s="86">
        <v>10</v>
      </c>
      <c r="M28" s="62">
        <f t="shared" si="6"/>
        <v>10</v>
      </c>
      <c r="N28" s="63" t="str">
        <f>IF(M28&gt;9.99,"Validé","Non validé")</f>
        <v>Validé</v>
      </c>
      <c r="O28" s="72">
        <v>9</v>
      </c>
      <c r="P28" s="62">
        <f t="shared" si="7"/>
        <v>9</v>
      </c>
      <c r="Q28" s="63" t="str">
        <f t="shared" si="8"/>
        <v>Non validé</v>
      </c>
      <c r="R28" s="72">
        <v>0</v>
      </c>
      <c r="S28" s="62">
        <f t="shared" si="9"/>
        <v>0</v>
      </c>
      <c r="T28" s="63" t="str">
        <f t="shared" si="10"/>
        <v>Non validé</v>
      </c>
      <c r="U28" s="72">
        <v>17</v>
      </c>
      <c r="V28" s="62">
        <f t="shared" si="11"/>
        <v>17</v>
      </c>
      <c r="W28" s="63" t="str">
        <f t="shared" si="12"/>
        <v>Validé</v>
      </c>
      <c r="X28" s="72">
        <v>10</v>
      </c>
      <c r="Y28" s="62">
        <f t="shared" si="13"/>
        <v>10</v>
      </c>
      <c r="Z28" s="63" t="str">
        <f t="shared" si="14"/>
        <v>Non validé</v>
      </c>
      <c r="AA28" s="72"/>
      <c r="AB28" s="62">
        <f t="shared" si="15"/>
        <v>0</v>
      </c>
      <c r="AC28" s="63" t="str">
        <f t="shared" si="16"/>
        <v>Non validé</v>
      </c>
      <c r="AD28" s="72"/>
      <c r="AE28" s="64">
        <f t="shared" si="17"/>
        <v>0</v>
      </c>
      <c r="AF28" s="65" t="str">
        <f t="shared" si="18"/>
        <v>Non validé</v>
      </c>
      <c r="AG28" s="66">
        <f t="shared" si="2"/>
        <v>7.39</v>
      </c>
      <c r="AH28" s="67" t="str">
        <f t="shared" si="19"/>
        <v>Ajourné</v>
      </c>
      <c r="AI28" s="29"/>
      <c r="AJ28" s="29"/>
    </row>
    <row r="29" spans="1:36" ht="24.9" customHeight="1">
      <c r="A29" s="138" t="s">
        <v>129</v>
      </c>
      <c r="B29" s="149" t="s">
        <v>130</v>
      </c>
      <c r="C29" s="140" t="s">
        <v>81</v>
      </c>
      <c r="D29" s="150" t="s">
        <v>131</v>
      </c>
      <c r="E29" s="55" t="s">
        <v>79</v>
      </c>
      <c r="F29" s="85"/>
      <c r="G29" s="76">
        <f t="shared" si="20"/>
        <v>0</v>
      </c>
      <c r="H29" s="77" t="str">
        <f t="shared" si="3"/>
        <v>Non validé</v>
      </c>
      <c r="I29" s="79"/>
      <c r="J29" s="76">
        <f t="shared" si="4"/>
        <v>0</v>
      </c>
      <c r="K29" s="77" t="str">
        <f t="shared" si="5"/>
        <v>Non validé</v>
      </c>
      <c r="L29" s="86"/>
      <c r="M29" s="62">
        <f t="shared" si="6"/>
        <v>0</v>
      </c>
      <c r="N29" s="63" t="str">
        <f t="shared" ref="N29:N43" si="21">IF(M29&gt;9.99,"Validé","Non validé")</f>
        <v>Non validé</v>
      </c>
      <c r="O29" s="72"/>
      <c r="P29" s="62">
        <f t="shared" si="7"/>
        <v>0</v>
      </c>
      <c r="Q29" s="63" t="str">
        <f t="shared" si="8"/>
        <v>Non validé</v>
      </c>
      <c r="R29" s="72"/>
      <c r="S29" s="62">
        <f t="shared" si="9"/>
        <v>0</v>
      </c>
      <c r="T29" s="63" t="str">
        <f t="shared" si="10"/>
        <v>Non validé</v>
      </c>
      <c r="U29" s="72"/>
      <c r="V29" s="62">
        <f t="shared" si="11"/>
        <v>0</v>
      </c>
      <c r="W29" s="63" t="str">
        <f t="shared" si="12"/>
        <v>Non validé</v>
      </c>
      <c r="X29" s="72"/>
      <c r="Y29" s="62">
        <f t="shared" si="13"/>
        <v>0</v>
      </c>
      <c r="Z29" s="63" t="str">
        <f t="shared" si="14"/>
        <v>Non validé</v>
      </c>
      <c r="AA29" s="72"/>
      <c r="AB29" s="62">
        <f t="shared" si="15"/>
        <v>0</v>
      </c>
      <c r="AC29" s="63" t="str">
        <f t="shared" si="16"/>
        <v>Non validé</v>
      </c>
      <c r="AD29" s="72"/>
      <c r="AE29" s="64">
        <f t="shared" si="17"/>
        <v>0</v>
      </c>
      <c r="AF29" s="65" t="str">
        <f t="shared" si="18"/>
        <v>Non validé</v>
      </c>
      <c r="AG29" s="66">
        <f t="shared" si="2"/>
        <v>0</v>
      </c>
      <c r="AH29" s="67" t="str">
        <f t="shared" si="19"/>
        <v>Ajourné</v>
      </c>
      <c r="AI29" s="29"/>
      <c r="AJ29" s="29"/>
    </row>
    <row r="30" spans="1:36" ht="24.9" customHeight="1">
      <c r="A30" s="138" t="s">
        <v>132</v>
      </c>
      <c r="B30" s="151" t="s">
        <v>133</v>
      </c>
      <c r="C30" s="140" t="s">
        <v>81</v>
      </c>
      <c r="D30" s="150" t="s">
        <v>134</v>
      </c>
      <c r="E30" s="55" t="s">
        <v>79</v>
      </c>
      <c r="F30" s="85">
        <v>17</v>
      </c>
      <c r="G30" s="76">
        <f t="shared" si="20"/>
        <v>17</v>
      </c>
      <c r="H30" s="77" t="str">
        <f t="shared" si="3"/>
        <v>Validé</v>
      </c>
      <c r="I30" s="79">
        <v>11</v>
      </c>
      <c r="J30" s="76">
        <f t="shared" si="4"/>
        <v>11</v>
      </c>
      <c r="K30" s="77" t="str">
        <f t="shared" si="5"/>
        <v>Validé</v>
      </c>
      <c r="L30" s="86">
        <v>10</v>
      </c>
      <c r="M30" s="62">
        <f t="shared" si="6"/>
        <v>10</v>
      </c>
      <c r="N30" s="63" t="str">
        <f t="shared" si="21"/>
        <v>Validé</v>
      </c>
      <c r="O30" s="72">
        <v>7</v>
      </c>
      <c r="P30" s="62">
        <f t="shared" si="7"/>
        <v>7</v>
      </c>
      <c r="Q30" s="63" t="str">
        <f t="shared" si="8"/>
        <v>Non validé</v>
      </c>
      <c r="R30" s="72">
        <v>0</v>
      </c>
      <c r="S30" s="62">
        <f t="shared" si="9"/>
        <v>0</v>
      </c>
      <c r="T30" s="63" t="str">
        <f t="shared" si="10"/>
        <v>Non validé</v>
      </c>
      <c r="U30" s="72">
        <v>8</v>
      </c>
      <c r="V30" s="62">
        <f t="shared" si="11"/>
        <v>8</v>
      </c>
      <c r="W30" s="63" t="str">
        <f t="shared" si="12"/>
        <v>Non validé</v>
      </c>
      <c r="X30" s="85">
        <v>12</v>
      </c>
      <c r="Y30" s="62">
        <f t="shared" si="13"/>
        <v>12</v>
      </c>
      <c r="Z30" s="63" t="str">
        <f t="shared" si="14"/>
        <v>Validé</v>
      </c>
      <c r="AA30" s="72"/>
      <c r="AB30" s="62">
        <f t="shared" si="15"/>
        <v>0</v>
      </c>
      <c r="AC30" s="63" t="str">
        <f t="shared" si="16"/>
        <v>Non validé</v>
      </c>
      <c r="AD30" s="72"/>
      <c r="AE30" s="64">
        <f t="shared" si="17"/>
        <v>0</v>
      </c>
      <c r="AF30" s="65" t="str">
        <f t="shared" si="18"/>
        <v>Non validé</v>
      </c>
      <c r="AG30" s="66">
        <f t="shared" si="2"/>
        <v>7.22</v>
      </c>
      <c r="AH30" s="67" t="str">
        <f t="shared" si="19"/>
        <v>Ajourné</v>
      </c>
      <c r="AI30" s="29"/>
      <c r="AJ30" s="29"/>
    </row>
    <row r="31" spans="1:36" ht="24.9" customHeight="1">
      <c r="A31" s="138" t="s">
        <v>135</v>
      </c>
      <c r="B31" s="151" t="s">
        <v>136</v>
      </c>
      <c r="C31" s="140" t="s">
        <v>81</v>
      </c>
      <c r="D31" s="150" t="s">
        <v>137</v>
      </c>
      <c r="E31" s="55" t="s">
        <v>79</v>
      </c>
      <c r="F31" s="85"/>
      <c r="G31" s="76">
        <f t="shared" si="20"/>
        <v>0</v>
      </c>
      <c r="H31" s="77" t="str">
        <f t="shared" si="3"/>
        <v>Non validé</v>
      </c>
      <c r="I31" s="79">
        <v>12</v>
      </c>
      <c r="J31" s="76">
        <f t="shared" si="4"/>
        <v>12</v>
      </c>
      <c r="K31" s="77" t="str">
        <f t="shared" si="5"/>
        <v>Validé</v>
      </c>
      <c r="L31" s="86"/>
      <c r="M31" s="62">
        <f t="shared" si="6"/>
        <v>0</v>
      </c>
      <c r="N31" s="63" t="str">
        <f t="shared" si="21"/>
        <v>Non validé</v>
      </c>
      <c r="O31" s="72">
        <v>8</v>
      </c>
      <c r="P31" s="62">
        <f t="shared" si="7"/>
        <v>8</v>
      </c>
      <c r="Q31" s="63" t="str">
        <f t="shared" si="8"/>
        <v>Non validé</v>
      </c>
      <c r="R31" s="72">
        <v>3.5</v>
      </c>
      <c r="S31" s="62">
        <f t="shared" si="9"/>
        <v>3.5</v>
      </c>
      <c r="T31" s="63" t="str">
        <f t="shared" si="10"/>
        <v>Non validé</v>
      </c>
      <c r="U31" s="72">
        <v>15</v>
      </c>
      <c r="V31" s="62">
        <f t="shared" si="11"/>
        <v>15</v>
      </c>
      <c r="W31" s="63" t="str">
        <f t="shared" si="12"/>
        <v>Validé</v>
      </c>
      <c r="X31" s="85">
        <v>10</v>
      </c>
      <c r="Y31" s="62">
        <f t="shared" si="13"/>
        <v>10</v>
      </c>
      <c r="Z31" s="63" t="str">
        <f t="shared" si="14"/>
        <v>Non validé</v>
      </c>
      <c r="AA31" s="72"/>
      <c r="AB31" s="62">
        <f t="shared" si="15"/>
        <v>0</v>
      </c>
      <c r="AC31" s="63" t="str">
        <f t="shared" si="16"/>
        <v>Non validé</v>
      </c>
      <c r="AD31" s="72"/>
      <c r="AE31" s="64">
        <f t="shared" si="17"/>
        <v>0</v>
      </c>
      <c r="AF31" s="65" t="str">
        <f t="shared" si="18"/>
        <v>Non validé</v>
      </c>
      <c r="AG31" s="66">
        <f t="shared" si="2"/>
        <v>5.39</v>
      </c>
      <c r="AH31" s="67" t="str">
        <f t="shared" si="19"/>
        <v>Ajourné</v>
      </c>
      <c r="AI31" s="29"/>
      <c r="AJ31" s="29"/>
    </row>
    <row r="32" spans="1:36" ht="24.9" customHeight="1">
      <c r="A32" s="145" t="s">
        <v>138</v>
      </c>
      <c r="B32" s="152" t="s">
        <v>139</v>
      </c>
      <c r="C32" s="147" t="s">
        <v>81</v>
      </c>
      <c r="D32" s="153" t="s">
        <v>140</v>
      </c>
      <c r="E32" s="55" t="s">
        <v>79</v>
      </c>
      <c r="F32" s="85">
        <v>8</v>
      </c>
      <c r="G32" s="76">
        <f t="shared" si="20"/>
        <v>8</v>
      </c>
      <c r="H32" s="77" t="str">
        <f t="shared" si="3"/>
        <v>Non validé</v>
      </c>
      <c r="I32" s="79">
        <v>12</v>
      </c>
      <c r="J32" s="76">
        <f t="shared" si="4"/>
        <v>12</v>
      </c>
      <c r="K32" s="77" t="str">
        <f t="shared" si="5"/>
        <v>Validé</v>
      </c>
      <c r="L32" s="86"/>
      <c r="M32" s="62">
        <f t="shared" si="6"/>
        <v>0</v>
      </c>
      <c r="N32" s="63" t="str">
        <f t="shared" si="21"/>
        <v>Non validé</v>
      </c>
      <c r="O32" s="72">
        <v>7</v>
      </c>
      <c r="P32" s="62">
        <f t="shared" si="7"/>
        <v>7</v>
      </c>
      <c r="Q32" s="63" t="str">
        <f t="shared" si="8"/>
        <v>Non validé</v>
      </c>
      <c r="R32" s="72">
        <v>3</v>
      </c>
      <c r="S32" s="62">
        <f t="shared" si="9"/>
        <v>3</v>
      </c>
      <c r="T32" s="63" t="str">
        <f t="shared" si="10"/>
        <v>Non validé</v>
      </c>
      <c r="U32" s="72">
        <v>12</v>
      </c>
      <c r="V32" s="62">
        <f t="shared" si="11"/>
        <v>12</v>
      </c>
      <c r="W32" s="63" t="str">
        <f t="shared" si="12"/>
        <v>Validé</v>
      </c>
      <c r="X32" s="85">
        <v>9</v>
      </c>
      <c r="Y32" s="62">
        <f t="shared" si="13"/>
        <v>9</v>
      </c>
      <c r="Z32" s="63" t="str">
        <f t="shared" si="14"/>
        <v>Non validé</v>
      </c>
      <c r="AA32" s="72">
        <v>11</v>
      </c>
      <c r="AB32" s="62">
        <f t="shared" si="15"/>
        <v>11</v>
      </c>
      <c r="AC32" s="63" t="str">
        <f t="shared" si="16"/>
        <v>Validé</v>
      </c>
      <c r="AD32" s="72">
        <v>10</v>
      </c>
      <c r="AE32" s="64">
        <f t="shared" si="17"/>
        <v>10</v>
      </c>
      <c r="AF32" s="65" t="str">
        <f t="shared" si="18"/>
        <v>Non validé</v>
      </c>
      <c r="AG32" s="66">
        <f t="shared" si="2"/>
        <v>8</v>
      </c>
      <c r="AH32" s="67" t="str">
        <f t="shared" si="19"/>
        <v>Ajourné</v>
      </c>
      <c r="AI32" s="29"/>
      <c r="AJ32" s="29"/>
    </row>
    <row r="33" spans="1:36" ht="24.9" customHeight="1">
      <c r="A33" s="154" t="s">
        <v>141</v>
      </c>
      <c r="B33" s="152" t="s">
        <v>142</v>
      </c>
      <c r="C33" s="147" t="s">
        <v>81</v>
      </c>
      <c r="D33" s="153" t="s">
        <v>143</v>
      </c>
      <c r="E33" s="55" t="s">
        <v>79</v>
      </c>
      <c r="F33" s="85"/>
      <c r="G33" s="76">
        <f t="shared" si="20"/>
        <v>0</v>
      </c>
      <c r="H33" s="77" t="str">
        <f t="shared" si="3"/>
        <v>Non validé</v>
      </c>
      <c r="I33" s="79"/>
      <c r="J33" s="76">
        <f t="shared" si="4"/>
        <v>0</v>
      </c>
      <c r="K33" s="77" t="str">
        <f t="shared" si="5"/>
        <v>Non validé</v>
      </c>
      <c r="L33" s="86"/>
      <c r="M33" s="62">
        <f t="shared" si="6"/>
        <v>0</v>
      </c>
      <c r="N33" s="63" t="str">
        <f t="shared" si="21"/>
        <v>Non validé</v>
      </c>
      <c r="O33" s="72">
        <v>8</v>
      </c>
      <c r="P33" s="62">
        <f t="shared" si="7"/>
        <v>8</v>
      </c>
      <c r="Q33" s="63" t="str">
        <f t="shared" si="8"/>
        <v>Non validé</v>
      </c>
      <c r="R33" s="72">
        <v>2</v>
      </c>
      <c r="S33" s="62">
        <f t="shared" si="9"/>
        <v>2</v>
      </c>
      <c r="T33" s="63" t="str">
        <f t="shared" si="10"/>
        <v>Non validé</v>
      </c>
      <c r="U33" s="72">
        <v>14</v>
      </c>
      <c r="V33" s="62">
        <f t="shared" si="11"/>
        <v>14</v>
      </c>
      <c r="W33" s="63" t="str">
        <f t="shared" si="12"/>
        <v>Validé</v>
      </c>
      <c r="X33" s="85"/>
      <c r="Y33" s="62">
        <f t="shared" si="13"/>
        <v>0</v>
      </c>
      <c r="Z33" s="63" t="str">
        <f t="shared" si="14"/>
        <v>Non validé</v>
      </c>
      <c r="AA33" s="72"/>
      <c r="AB33" s="62">
        <f t="shared" si="15"/>
        <v>0</v>
      </c>
      <c r="AC33" s="63" t="str">
        <f t="shared" si="16"/>
        <v>Non validé</v>
      </c>
      <c r="AD33" s="72"/>
      <c r="AE33" s="64">
        <f t="shared" si="17"/>
        <v>0</v>
      </c>
      <c r="AF33" s="65" t="str">
        <f t="shared" si="18"/>
        <v>Non validé</v>
      </c>
      <c r="AG33" s="66">
        <f t="shared" si="2"/>
        <v>2.67</v>
      </c>
      <c r="AH33" s="67" t="str">
        <f t="shared" si="19"/>
        <v>Ajourné</v>
      </c>
      <c r="AI33" s="29"/>
      <c r="AJ33" s="29"/>
    </row>
    <row r="34" spans="1:36" ht="24.9" customHeight="1">
      <c r="A34" s="142" t="s">
        <v>144</v>
      </c>
      <c r="B34" s="149" t="s">
        <v>145</v>
      </c>
      <c r="C34" s="140" t="s">
        <v>81</v>
      </c>
      <c r="D34" s="150" t="s">
        <v>146</v>
      </c>
      <c r="E34" s="55" t="s">
        <v>79</v>
      </c>
      <c r="F34" s="85"/>
      <c r="G34" s="76">
        <f t="shared" si="20"/>
        <v>0</v>
      </c>
      <c r="H34" s="77" t="str">
        <f t="shared" si="3"/>
        <v>Non validé</v>
      </c>
      <c r="I34" s="79"/>
      <c r="J34" s="76">
        <f t="shared" si="4"/>
        <v>0</v>
      </c>
      <c r="K34" s="77" t="str">
        <f t="shared" si="5"/>
        <v>Non validé</v>
      </c>
      <c r="L34" s="78"/>
      <c r="M34" s="62">
        <f t="shared" si="6"/>
        <v>0</v>
      </c>
      <c r="N34" s="63" t="str">
        <f t="shared" si="21"/>
        <v>Non validé</v>
      </c>
      <c r="O34" s="72"/>
      <c r="P34" s="62">
        <f t="shared" si="7"/>
        <v>0</v>
      </c>
      <c r="Q34" s="63" t="str">
        <f t="shared" si="8"/>
        <v>Non validé</v>
      </c>
      <c r="R34" s="72"/>
      <c r="S34" s="62">
        <f t="shared" si="9"/>
        <v>0</v>
      </c>
      <c r="T34" s="63" t="str">
        <f t="shared" si="10"/>
        <v>Non validé</v>
      </c>
      <c r="U34" s="72"/>
      <c r="V34" s="62">
        <f t="shared" si="11"/>
        <v>0</v>
      </c>
      <c r="W34" s="63" t="str">
        <f t="shared" si="12"/>
        <v>Non validé</v>
      </c>
      <c r="X34" s="72"/>
      <c r="Y34" s="62">
        <f t="shared" si="13"/>
        <v>0</v>
      </c>
      <c r="Z34" s="63" t="str">
        <f t="shared" si="14"/>
        <v>Non validé</v>
      </c>
      <c r="AA34" s="72"/>
      <c r="AB34" s="62">
        <f t="shared" si="15"/>
        <v>0</v>
      </c>
      <c r="AC34" s="63" t="str">
        <f t="shared" si="16"/>
        <v>Non validé</v>
      </c>
      <c r="AD34" s="72"/>
      <c r="AE34" s="64">
        <f t="shared" si="17"/>
        <v>0</v>
      </c>
      <c r="AF34" s="65" t="str">
        <f t="shared" si="18"/>
        <v>Non validé</v>
      </c>
      <c r="AG34" s="66">
        <f t="shared" si="2"/>
        <v>0</v>
      </c>
      <c r="AH34" s="67" t="str">
        <f t="shared" si="19"/>
        <v>Ajourné</v>
      </c>
      <c r="AI34" s="29"/>
      <c r="AJ34" s="29"/>
    </row>
    <row r="35" spans="1:36" ht="24.9" customHeight="1">
      <c r="A35" s="142" t="s">
        <v>147</v>
      </c>
      <c r="B35" s="149" t="s">
        <v>148</v>
      </c>
      <c r="C35" s="140" t="s">
        <v>81</v>
      </c>
      <c r="D35" s="150" t="s">
        <v>149</v>
      </c>
      <c r="E35" s="55" t="s">
        <v>79</v>
      </c>
      <c r="F35" s="85"/>
      <c r="G35" s="76">
        <f t="shared" si="20"/>
        <v>0</v>
      </c>
      <c r="H35" s="77" t="str">
        <f t="shared" si="3"/>
        <v>Non validé</v>
      </c>
      <c r="I35" s="79"/>
      <c r="J35" s="76">
        <f t="shared" si="4"/>
        <v>0</v>
      </c>
      <c r="K35" s="77" t="str">
        <f t="shared" si="5"/>
        <v>Non validé</v>
      </c>
      <c r="L35" s="78"/>
      <c r="M35" s="62">
        <f t="shared" si="6"/>
        <v>0</v>
      </c>
      <c r="N35" s="63" t="str">
        <f t="shared" si="21"/>
        <v>Non validé</v>
      </c>
      <c r="O35" s="72"/>
      <c r="P35" s="62">
        <f t="shared" si="7"/>
        <v>0</v>
      </c>
      <c r="Q35" s="63" t="str">
        <f t="shared" si="8"/>
        <v>Non validé</v>
      </c>
      <c r="R35" s="72"/>
      <c r="S35" s="62">
        <f t="shared" si="9"/>
        <v>0</v>
      </c>
      <c r="T35" s="63" t="str">
        <f t="shared" si="10"/>
        <v>Non validé</v>
      </c>
      <c r="U35" s="72"/>
      <c r="V35" s="62">
        <f t="shared" si="11"/>
        <v>0</v>
      </c>
      <c r="W35" s="63" t="str">
        <f t="shared" si="12"/>
        <v>Non validé</v>
      </c>
      <c r="X35" s="72"/>
      <c r="Y35" s="62">
        <f t="shared" si="13"/>
        <v>0</v>
      </c>
      <c r="Z35" s="63" t="str">
        <f t="shared" si="14"/>
        <v>Non validé</v>
      </c>
      <c r="AA35" s="72"/>
      <c r="AB35" s="62">
        <f t="shared" si="15"/>
        <v>0</v>
      </c>
      <c r="AC35" s="63" t="str">
        <f t="shared" si="16"/>
        <v>Non validé</v>
      </c>
      <c r="AD35" s="72"/>
      <c r="AE35" s="64">
        <f t="shared" si="17"/>
        <v>0</v>
      </c>
      <c r="AF35" s="65" t="str">
        <f t="shared" si="18"/>
        <v>Non validé</v>
      </c>
      <c r="AG35" s="66">
        <f t="shared" si="2"/>
        <v>0</v>
      </c>
      <c r="AH35" s="67" t="str">
        <f t="shared" si="19"/>
        <v>Ajourné</v>
      </c>
      <c r="AI35" s="29"/>
      <c r="AJ35" s="29"/>
    </row>
    <row r="36" spans="1:36" ht="24.9" customHeight="1">
      <c r="A36" s="138" t="s">
        <v>150</v>
      </c>
      <c r="B36" s="149" t="s">
        <v>151</v>
      </c>
      <c r="C36" s="140" t="s">
        <v>103</v>
      </c>
      <c r="D36" s="150" t="s">
        <v>152</v>
      </c>
      <c r="E36" s="55" t="s">
        <v>79</v>
      </c>
      <c r="F36" s="85">
        <v>10</v>
      </c>
      <c r="G36" s="76">
        <f t="shared" si="20"/>
        <v>10</v>
      </c>
      <c r="H36" s="77" t="str">
        <f t="shared" si="3"/>
        <v>Non validé</v>
      </c>
      <c r="I36" s="79">
        <v>12</v>
      </c>
      <c r="J36" s="76">
        <f t="shared" si="4"/>
        <v>12</v>
      </c>
      <c r="K36" s="77" t="str">
        <f t="shared" si="5"/>
        <v>Validé</v>
      </c>
      <c r="L36" s="78"/>
      <c r="M36" s="62">
        <f t="shared" si="6"/>
        <v>0</v>
      </c>
      <c r="N36" s="63" t="str">
        <f t="shared" si="21"/>
        <v>Non validé</v>
      </c>
      <c r="O36" s="72">
        <v>10</v>
      </c>
      <c r="P36" s="62">
        <f t="shared" si="7"/>
        <v>10</v>
      </c>
      <c r="Q36" s="63" t="str">
        <f>IF(P36&gt;9.99,"Validé","Non validé")</f>
        <v>Validé</v>
      </c>
      <c r="R36" s="72">
        <v>0</v>
      </c>
      <c r="S36" s="62">
        <f t="shared" si="9"/>
        <v>0</v>
      </c>
      <c r="T36" s="63" t="str">
        <f t="shared" si="10"/>
        <v>Non validé</v>
      </c>
      <c r="U36" s="72">
        <v>15</v>
      </c>
      <c r="V36" s="62">
        <f t="shared" si="11"/>
        <v>15</v>
      </c>
      <c r="W36" s="63" t="str">
        <f t="shared" si="12"/>
        <v>Validé</v>
      </c>
      <c r="X36" s="72">
        <v>10</v>
      </c>
      <c r="Y36" s="62">
        <f t="shared" si="13"/>
        <v>10</v>
      </c>
      <c r="Z36" s="63" t="str">
        <f t="shared" si="14"/>
        <v>Non validé</v>
      </c>
      <c r="AA36" s="72"/>
      <c r="AB36" s="62">
        <f t="shared" si="15"/>
        <v>0</v>
      </c>
      <c r="AC36" s="63" t="str">
        <f t="shared" si="16"/>
        <v>Non validé</v>
      </c>
      <c r="AD36" s="72"/>
      <c r="AE36" s="64">
        <f t="shared" si="17"/>
        <v>0</v>
      </c>
      <c r="AF36" s="65" t="str">
        <f t="shared" si="18"/>
        <v>Non validé</v>
      </c>
      <c r="AG36" s="66">
        <f t="shared" si="2"/>
        <v>6.33</v>
      </c>
      <c r="AH36" s="67" t="str">
        <f t="shared" si="19"/>
        <v>Ajourné</v>
      </c>
      <c r="AI36" s="29"/>
      <c r="AJ36" s="29"/>
    </row>
    <row r="37" spans="1:36" ht="24.9" customHeight="1">
      <c r="A37" s="138" t="s">
        <v>153</v>
      </c>
      <c r="B37" s="149" t="s">
        <v>154</v>
      </c>
      <c r="C37" s="140" t="s">
        <v>103</v>
      </c>
      <c r="D37" s="150" t="s">
        <v>155</v>
      </c>
      <c r="E37" s="55" t="s">
        <v>79</v>
      </c>
      <c r="F37" s="85"/>
      <c r="G37" s="76">
        <f t="shared" si="20"/>
        <v>0</v>
      </c>
      <c r="H37" s="77" t="str">
        <f t="shared" si="3"/>
        <v>Non validé</v>
      </c>
      <c r="I37" s="79"/>
      <c r="J37" s="76">
        <f t="shared" si="4"/>
        <v>0</v>
      </c>
      <c r="K37" s="77" t="str">
        <f t="shared" si="5"/>
        <v>Non validé</v>
      </c>
      <c r="L37" s="78"/>
      <c r="M37" s="62">
        <f t="shared" si="6"/>
        <v>0</v>
      </c>
      <c r="N37" s="63" t="str">
        <f t="shared" si="21"/>
        <v>Non validé</v>
      </c>
      <c r="O37" s="72"/>
      <c r="P37" s="62">
        <f t="shared" si="7"/>
        <v>0</v>
      </c>
      <c r="Q37" s="63" t="str">
        <f t="shared" si="8"/>
        <v>Non validé</v>
      </c>
      <c r="R37" s="72"/>
      <c r="S37" s="62">
        <f t="shared" si="9"/>
        <v>0</v>
      </c>
      <c r="T37" s="63" t="str">
        <f t="shared" si="10"/>
        <v>Non validé</v>
      </c>
      <c r="U37" s="72"/>
      <c r="V37" s="62">
        <f t="shared" si="11"/>
        <v>0</v>
      </c>
      <c r="W37" s="63" t="str">
        <f t="shared" si="12"/>
        <v>Non validé</v>
      </c>
      <c r="X37" s="72"/>
      <c r="Y37" s="62">
        <f t="shared" si="13"/>
        <v>0</v>
      </c>
      <c r="Z37" s="63" t="str">
        <f t="shared" si="14"/>
        <v>Non validé</v>
      </c>
      <c r="AA37" s="72"/>
      <c r="AB37" s="62">
        <f t="shared" si="15"/>
        <v>0</v>
      </c>
      <c r="AC37" s="63" t="str">
        <f t="shared" si="16"/>
        <v>Non validé</v>
      </c>
      <c r="AD37" s="72"/>
      <c r="AE37" s="64">
        <f t="shared" si="17"/>
        <v>0</v>
      </c>
      <c r="AF37" s="65" t="str">
        <f t="shared" si="18"/>
        <v>Non validé</v>
      </c>
      <c r="AG37" s="66">
        <f t="shared" si="2"/>
        <v>0</v>
      </c>
      <c r="AH37" s="67" t="str">
        <f t="shared" si="19"/>
        <v>Ajourné</v>
      </c>
      <c r="AI37" s="29"/>
      <c r="AJ37" s="29"/>
    </row>
    <row r="38" spans="1:36" ht="24.9" customHeight="1">
      <c r="A38" s="182" t="s">
        <v>171</v>
      </c>
      <c r="B38" s="149" t="s">
        <v>156</v>
      </c>
      <c r="C38" s="140" t="s">
        <v>81</v>
      </c>
      <c r="D38" s="150" t="s">
        <v>157</v>
      </c>
      <c r="E38" s="55" t="s">
        <v>79</v>
      </c>
      <c r="F38" s="85">
        <v>10</v>
      </c>
      <c r="G38" s="76">
        <f t="shared" si="20"/>
        <v>10</v>
      </c>
      <c r="H38" s="77" t="str">
        <f t="shared" si="3"/>
        <v>Non validé</v>
      </c>
      <c r="I38" s="79">
        <v>12</v>
      </c>
      <c r="J38" s="76">
        <f t="shared" si="4"/>
        <v>12</v>
      </c>
      <c r="K38" s="77" t="str">
        <f t="shared" si="5"/>
        <v>Validé</v>
      </c>
      <c r="L38" s="78"/>
      <c r="M38" s="62">
        <f t="shared" si="6"/>
        <v>0</v>
      </c>
      <c r="N38" s="63" t="str">
        <f t="shared" si="21"/>
        <v>Non validé</v>
      </c>
      <c r="O38" s="72">
        <v>8</v>
      </c>
      <c r="P38" s="62">
        <f t="shared" si="7"/>
        <v>8</v>
      </c>
      <c r="Q38" s="63" t="str">
        <f t="shared" si="8"/>
        <v>Non validé</v>
      </c>
      <c r="R38" s="72">
        <v>11</v>
      </c>
      <c r="S38" s="62">
        <f t="shared" si="9"/>
        <v>11</v>
      </c>
      <c r="T38" s="63" t="str">
        <f t="shared" si="10"/>
        <v>Validé</v>
      </c>
      <c r="U38" s="72">
        <v>11</v>
      </c>
      <c r="V38" s="62">
        <f t="shared" si="11"/>
        <v>11</v>
      </c>
      <c r="W38" s="63" t="str">
        <f t="shared" si="12"/>
        <v>Validé</v>
      </c>
      <c r="X38" s="72">
        <v>9</v>
      </c>
      <c r="Y38" s="62">
        <f t="shared" si="13"/>
        <v>9</v>
      </c>
      <c r="Z38" s="63" t="str">
        <f t="shared" si="14"/>
        <v>Non validé</v>
      </c>
      <c r="AA38" s="72"/>
      <c r="AB38" s="62">
        <f t="shared" si="15"/>
        <v>0</v>
      </c>
      <c r="AC38" s="63" t="str">
        <f t="shared" si="16"/>
        <v>Non validé</v>
      </c>
      <c r="AD38" s="72"/>
      <c r="AE38" s="64">
        <f t="shared" si="17"/>
        <v>0</v>
      </c>
      <c r="AF38" s="65" t="str">
        <f t="shared" si="18"/>
        <v>Non validé</v>
      </c>
      <c r="AG38" s="66">
        <f t="shared" si="2"/>
        <v>6.78</v>
      </c>
      <c r="AH38" s="67" t="str">
        <f t="shared" si="19"/>
        <v>Ajourné</v>
      </c>
      <c r="AI38" s="224"/>
      <c r="AJ38" s="225"/>
    </row>
    <row r="39" spans="1:36" ht="24.9" customHeight="1">
      <c r="A39" s="142" t="s">
        <v>158</v>
      </c>
      <c r="B39" s="149" t="s">
        <v>159</v>
      </c>
      <c r="C39" s="140" t="s">
        <v>81</v>
      </c>
      <c r="D39" s="150" t="s">
        <v>160</v>
      </c>
      <c r="E39" s="55" t="s">
        <v>79</v>
      </c>
      <c r="F39" s="85"/>
      <c r="G39" s="76">
        <f t="shared" si="20"/>
        <v>0</v>
      </c>
      <c r="H39" s="77" t="str">
        <f t="shared" si="3"/>
        <v>Non validé</v>
      </c>
      <c r="I39" s="79"/>
      <c r="J39" s="76">
        <f t="shared" si="4"/>
        <v>0</v>
      </c>
      <c r="K39" s="77" t="str">
        <f t="shared" si="5"/>
        <v>Non validé</v>
      </c>
      <c r="L39" s="78"/>
      <c r="M39" s="62">
        <f t="shared" si="6"/>
        <v>0</v>
      </c>
      <c r="N39" s="63" t="str">
        <f t="shared" si="21"/>
        <v>Non validé</v>
      </c>
      <c r="O39" s="72"/>
      <c r="P39" s="62">
        <f t="shared" si="7"/>
        <v>0</v>
      </c>
      <c r="Q39" s="63" t="str">
        <f t="shared" si="8"/>
        <v>Non validé</v>
      </c>
      <c r="R39" s="72">
        <v>3</v>
      </c>
      <c r="S39" s="62">
        <f t="shared" si="9"/>
        <v>3</v>
      </c>
      <c r="T39" s="63" t="str">
        <f t="shared" si="10"/>
        <v>Non validé</v>
      </c>
      <c r="U39" s="72"/>
      <c r="V39" s="62">
        <f t="shared" si="11"/>
        <v>0</v>
      </c>
      <c r="W39" s="63" t="str">
        <f t="shared" si="12"/>
        <v>Non validé</v>
      </c>
      <c r="X39" s="72"/>
      <c r="Y39" s="62">
        <f t="shared" si="13"/>
        <v>0</v>
      </c>
      <c r="Z39" s="63" t="str">
        <f t="shared" si="14"/>
        <v>Non validé</v>
      </c>
      <c r="AA39" s="72"/>
      <c r="AB39" s="62">
        <f t="shared" si="15"/>
        <v>0</v>
      </c>
      <c r="AC39" s="63" t="str">
        <f t="shared" si="16"/>
        <v>Non validé</v>
      </c>
      <c r="AD39" s="72"/>
      <c r="AE39" s="64">
        <f t="shared" si="17"/>
        <v>0</v>
      </c>
      <c r="AF39" s="65" t="str">
        <f t="shared" si="18"/>
        <v>Non validé</v>
      </c>
      <c r="AG39" s="66">
        <f t="shared" si="2"/>
        <v>0.33</v>
      </c>
      <c r="AH39" s="67" t="str">
        <f t="shared" si="19"/>
        <v>Ajourné</v>
      </c>
      <c r="AI39" s="224"/>
      <c r="AJ39" s="225"/>
    </row>
    <row r="40" spans="1:36" ht="24.9" customHeight="1">
      <c r="A40" s="175" t="s">
        <v>166</v>
      </c>
      <c r="B40" s="56"/>
      <c r="C40" s="43"/>
      <c r="D40" s="57"/>
      <c r="E40" s="55" t="s">
        <v>79</v>
      </c>
      <c r="F40" s="85"/>
      <c r="G40" s="76">
        <f t="shared" si="20"/>
        <v>0</v>
      </c>
      <c r="H40" s="77" t="str">
        <f t="shared" si="3"/>
        <v>Non validé</v>
      </c>
      <c r="I40" s="79"/>
      <c r="J40" s="76">
        <f t="shared" si="4"/>
        <v>0</v>
      </c>
      <c r="K40" s="77" t="str">
        <f t="shared" si="5"/>
        <v>Non validé</v>
      </c>
      <c r="L40" s="78"/>
      <c r="M40" s="62">
        <f t="shared" si="6"/>
        <v>0</v>
      </c>
      <c r="N40" s="63" t="str">
        <f t="shared" si="21"/>
        <v>Non validé</v>
      </c>
      <c r="O40" s="72"/>
      <c r="P40" s="62">
        <f t="shared" si="7"/>
        <v>0</v>
      </c>
      <c r="Q40" s="63" t="str">
        <f t="shared" si="8"/>
        <v>Non validé</v>
      </c>
      <c r="R40" s="72">
        <v>3</v>
      </c>
      <c r="S40" s="62">
        <f t="shared" si="9"/>
        <v>3</v>
      </c>
      <c r="T40" s="63" t="str">
        <f t="shared" si="10"/>
        <v>Non validé</v>
      </c>
      <c r="U40" s="72"/>
      <c r="V40" s="62">
        <f t="shared" si="11"/>
        <v>0</v>
      </c>
      <c r="W40" s="63" t="str">
        <f t="shared" si="12"/>
        <v>Non validé</v>
      </c>
      <c r="X40" s="72"/>
      <c r="Y40" s="62">
        <f t="shared" si="13"/>
        <v>0</v>
      </c>
      <c r="Z40" s="63" t="str">
        <f t="shared" si="14"/>
        <v>Non validé</v>
      </c>
      <c r="AA40" s="72"/>
      <c r="AB40" s="62">
        <f t="shared" si="15"/>
        <v>0</v>
      </c>
      <c r="AC40" s="63" t="str">
        <f t="shared" si="16"/>
        <v>Non validé</v>
      </c>
      <c r="AD40" s="72"/>
      <c r="AE40" s="64">
        <f t="shared" si="17"/>
        <v>0</v>
      </c>
      <c r="AF40" s="65" t="str">
        <f t="shared" si="18"/>
        <v>Non validé</v>
      </c>
      <c r="AG40" s="66">
        <f t="shared" si="2"/>
        <v>0.33</v>
      </c>
      <c r="AH40" s="67" t="str">
        <f t="shared" si="19"/>
        <v>Ajourné</v>
      </c>
      <c r="AI40" s="224"/>
      <c r="AJ40" s="225"/>
    </row>
    <row r="41" spans="1:36" ht="24.9" customHeight="1">
      <c r="A41" s="176" t="s">
        <v>167</v>
      </c>
      <c r="B41" s="56"/>
      <c r="C41" s="43"/>
      <c r="D41" s="57"/>
      <c r="E41" s="55" t="s">
        <v>79</v>
      </c>
      <c r="F41" s="85"/>
      <c r="G41" s="76">
        <f t="shared" si="20"/>
        <v>0</v>
      </c>
      <c r="H41" s="77" t="str">
        <f t="shared" si="3"/>
        <v>Non validé</v>
      </c>
      <c r="I41" s="79"/>
      <c r="J41" s="76">
        <f t="shared" si="4"/>
        <v>0</v>
      </c>
      <c r="K41" s="77" t="str">
        <f t="shared" si="5"/>
        <v>Non validé</v>
      </c>
      <c r="L41" s="78"/>
      <c r="M41" s="62">
        <f t="shared" si="6"/>
        <v>0</v>
      </c>
      <c r="N41" s="63" t="str">
        <f t="shared" si="21"/>
        <v>Non validé</v>
      </c>
      <c r="O41" s="72">
        <v>2</v>
      </c>
      <c r="P41" s="62">
        <f t="shared" si="7"/>
        <v>2</v>
      </c>
      <c r="Q41" s="63" t="str">
        <f t="shared" si="8"/>
        <v>Non validé</v>
      </c>
      <c r="R41" s="72">
        <v>10</v>
      </c>
      <c r="S41" s="62">
        <f t="shared" si="9"/>
        <v>10</v>
      </c>
      <c r="T41" s="63" t="str">
        <f t="shared" si="10"/>
        <v>Non validé</v>
      </c>
      <c r="U41" s="72"/>
      <c r="V41" s="62">
        <f t="shared" si="11"/>
        <v>0</v>
      </c>
      <c r="W41" s="63" t="str">
        <f t="shared" si="12"/>
        <v>Non validé</v>
      </c>
      <c r="X41" s="72"/>
      <c r="Y41" s="62">
        <f t="shared" si="13"/>
        <v>0</v>
      </c>
      <c r="Z41" s="63" t="str">
        <f t="shared" si="14"/>
        <v>Non validé</v>
      </c>
      <c r="AA41" s="72"/>
      <c r="AB41" s="62">
        <f t="shared" si="15"/>
        <v>0</v>
      </c>
      <c r="AC41" s="63" t="str">
        <f t="shared" si="16"/>
        <v>Non validé</v>
      </c>
      <c r="AD41" s="72"/>
      <c r="AE41" s="64">
        <f t="shared" si="17"/>
        <v>0</v>
      </c>
      <c r="AF41" s="65" t="str">
        <f t="shared" si="18"/>
        <v>Non validé</v>
      </c>
      <c r="AG41" s="66">
        <f t="shared" si="2"/>
        <v>1.33</v>
      </c>
      <c r="AH41" s="67" t="str">
        <f t="shared" si="19"/>
        <v>Ajourné</v>
      </c>
      <c r="AI41" s="224"/>
      <c r="AJ41" s="225"/>
    </row>
    <row r="42" spans="1:36" ht="24.9" customHeight="1">
      <c r="A42" s="176" t="s">
        <v>168</v>
      </c>
      <c r="B42" s="56"/>
      <c r="C42" s="43"/>
      <c r="D42" s="57"/>
      <c r="E42" s="55" t="s">
        <v>79</v>
      </c>
      <c r="F42" s="85"/>
      <c r="G42" s="76">
        <f t="shared" si="20"/>
        <v>0</v>
      </c>
      <c r="H42" s="77" t="str">
        <f t="shared" si="3"/>
        <v>Non validé</v>
      </c>
      <c r="I42" s="79"/>
      <c r="J42" s="76">
        <f t="shared" si="4"/>
        <v>0</v>
      </c>
      <c r="K42" s="77" t="str">
        <f t="shared" si="5"/>
        <v>Non validé</v>
      </c>
      <c r="L42" s="78"/>
      <c r="M42" s="62">
        <f t="shared" si="6"/>
        <v>0</v>
      </c>
      <c r="N42" s="63" t="str">
        <f t="shared" si="21"/>
        <v>Non validé</v>
      </c>
      <c r="O42" s="72">
        <v>13</v>
      </c>
      <c r="P42" s="62">
        <f t="shared" si="7"/>
        <v>13</v>
      </c>
      <c r="Q42" s="63" t="str">
        <f t="shared" si="8"/>
        <v>Validé</v>
      </c>
      <c r="R42" s="72">
        <v>5</v>
      </c>
      <c r="S42" s="62">
        <f t="shared" si="9"/>
        <v>5</v>
      </c>
      <c r="T42" s="63" t="str">
        <f t="shared" si="10"/>
        <v>Non validé</v>
      </c>
      <c r="U42" s="72"/>
      <c r="V42" s="62">
        <f t="shared" si="11"/>
        <v>0</v>
      </c>
      <c r="W42" s="63" t="str">
        <f t="shared" si="12"/>
        <v>Non validé</v>
      </c>
      <c r="X42" s="72"/>
      <c r="Y42" s="62">
        <f t="shared" si="13"/>
        <v>0</v>
      </c>
      <c r="Z42" s="63" t="str">
        <f t="shared" si="14"/>
        <v>Non validé</v>
      </c>
      <c r="AA42" s="72"/>
      <c r="AB42" s="62">
        <f t="shared" si="15"/>
        <v>0</v>
      </c>
      <c r="AC42" s="63" t="str">
        <f t="shared" si="16"/>
        <v>Non validé</v>
      </c>
      <c r="AD42" s="72"/>
      <c r="AE42" s="64">
        <f t="shared" si="17"/>
        <v>0</v>
      </c>
      <c r="AF42" s="65" t="str">
        <f t="shared" si="18"/>
        <v>Non validé</v>
      </c>
      <c r="AG42" s="66">
        <f t="shared" si="2"/>
        <v>2</v>
      </c>
      <c r="AH42" s="67" t="str">
        <f t="shared" si="19"/>
        <v>Ajourné</v>
      </c>
      <c r="AI42" s="224"/>
      <c r="AJ42" s="225"/>
    </row>
    <row r="43" spans="1:36" ht="24.9" customHeight="1">
      <c r="A43" s="54"/>
      <c r="B43" s="56"/>
      <c r="C43" s="43"/>
      <c r="D43" s="57"/>
      <c r="E43" s="55" t="s">
        <v>79</v>
      </c>
      <c r="F43" s="85"/>
      <c r="G43" s="76">
        <f t="shared" si="20"/>
        <v>0</v>
      </c>
      <c r="H43" s="77" t="str">
        <f t="shared" si="3"/>
        <v>Non validé</v>
      </c>
      <c r="I43" s="79"/>
      <c r="J43" s="76">
        <f t="shared" si="4"/>
        <v>0</v>
      </c>
      <c r="K43" s="77" t="str">
        <f t="shared" si="5"/>
        <v>Non validé</v>
      </c>
      <c r="L43" s="78"/>
      <c r="M43" s="62">
        <f t="shared" si="6"/>
        <v>0</v>
      </c>
      <c r="N43" s="63" t="str">
        <f t="shared" si="21"/>
        <v>Non validé</v>
      </c>
      <c r="O43" s="72"/>
      <c r="P43" s="62">
        <f t="shared" si="7"/>
        <v>0</v>
      </c>
      <c r="Q43" s="63" t="str">
        <f t="shared" si="8"/>
        <v>Non validé</v>
      </c>
      <c r="R43" s="72"/>
      <c r="S43" s="62">
        <f t="shared" si="9"/>
        <v>0</v>
      </c>
      <c r="T43" s="63" t="str">
        <f t="shared" si="10"/>
        <v>Non validé</v>
      </c>
      <c r="U43" s="72"/>
      <c r="V43" s="62">
        <f t="shared" si="11"/>
        <v>0</v>
      </c>
      <c r="W43" s="63" t="str">
        <f t="shared" si="12"/>
        <v>Non validé</v>
      </c>
      <c r="X43" s="72"/>
      <c r="Y43" s="62">
        <f t="shared" si="13"/>
        <v>0</v>
      </c>
      <c r="Z43" s="63" t="str">
        <f t="shared" si="14"/>
        <v>Non validé</v>
      </c>
      <c r="AA43" s="72"/>
      <c r="AB43" s="62">
        <f t="shared" si="15"/>
        <v>0</v>
      </c>
      <c r="AC43" s="63" t="str">
        <f t="shared" si="16"/>
        <v>Non validé</v>
      </c>
      <c r="AD43" s="72"/>
      <c r="AE43" s="64">
        <f t="shared" si="17"/>
        <v>0</v>
      </c>
      <c r="AF43" s="65" t="str">
        <f t="shared" si="18"/>
        <v>Non validé</v>
      </c>
      <c r="AG43" s="66">
        <f t="shared" si="2"/>
        <v>0</v>
      </c>
      <c r="AH43" s="67" t="str">
        <f t="shared" si="19"/>
        <v>Ajourné</v>
      </c>
      <c r="AI43" s="224"/>
      <c r="AJ43" s="225"/>
    </row>
    <row r="44" spans="1:36" ht="15" customHeight="1">
      <c r="A44" s="226" t="s">
        <v>29</v>
      </c>
      <c r="B44" s="227"/>
      <c r="C44" s="227"/>
      <c r="D44" s="227"/>
      <c r="E44" s="227"/>
      <c r="F44" s="228"/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8"/>
      <c r="AE44" s="228"/>
      <c r="AF44" s="228"/>
      <c r="AG44" s="228"/>
      <c r="AH44" s="228"/>
    </row>
    <row r="45" spans="1:36" ht="16.5" customHeight="1">
      <c r="A45" s="223" t="s">
        <v>32</v>
      </c>
      <c r="B45" s="223"/>
      <c r="C45" s="223"/>
      <c r="D45" s="223"/>
      <c r="E45" s="223"/>
      <c r="F45" s="80"/>
      <c r="G45" s="81">
        <f>AVERAGE(G10:G43)</f>
        <v>4.0735294117647056</v>
      </c>
      <c r="H45" s="82"/>
      <c r="I45" s="82"/>
      <c r="J45" s="81">
        <f>AVERAGE(J10:J43)</f>
        <v>4.7941176470588234</v>
      </c>
      <c r="K45" s="82"/>
      <c r="L45" s="82"/>
      <c r="M45" s="68">
        <f>AVERAGE(M10:M43)</f>
        <v>2.2058823529411766</v>
      </c>
      <c r="N45" s="30"/>
      <c r="O45" s="30"/>
      <c r="P45" s="68">
        <f>AVERAGE(P10:P43)</f>
        <v>2.4411764705882355</v>
      </c>
      <c r="Q45" s="30"/>
      <c r="R45" s="30"/>
      <c r="S45" s="68">
        <f>AVERAGE(S10:S43)</f>
        <v>2.8382352941176472</v>
      </c>
      <c r="T45" s="30"/>
      <c r="U45" s="30"/>
      <c r="V45" s="68">
        <f>AVERAGE(V10:V43)</f>
        <v>4.875</v>
      </c>
      <c r="W45" s="30"/>
      <c r="X45" s="30"/>
      <c r="Y45" s="68">
        <f>AVERAGE(Y10:Y43)</f>
        <v>2.5294117647058822</v>
      </c>
      <c r="Z45" s="30"/>
      <c r="AA45" s="30"/>
      <c r="AB45" s="68">
        <f>SUM(AB10:AB43)</f>
        <v>11</v>
      </c>
      <c r="AC45" s="30"/>
      <c r="AD45" s="30"/>
      <c r="AE45" s="68">
        <f>AVERAGE(AE10:AE43)</f>
        <v>0.29411764705882354</v>
      </c>
      <c r="AF45" s="30"/>
      <c r="AG45" s="69">
        <f>ROUND(AVERAGE(AG10:AG43),2)</f>
        <v>2.71</v>
      </c>
      <c r="AH45" s="30"/>
    </row>
    <row r="46" spans="1:36" ht="17.100000000000001" customHeight="1">
      <c r="A46" s="223" t="s">
        <v>33</v>
      </c>
      <c r="B46" s="223"/>
      <c r="C46" s="223"/>
      <c r="D46" s="223"/>
      <c r="E46" s="223"/>
      <c r="F46" s="80"/>
      <c r="G46" s="81">
        <f>MIN(G10:G43)</f>
        <v>0</v>
      </c>
      <c r="H46" s="83"/>
      <c r="I46" s="83"/>
      <c r="J46" s="81">
        <f>MIN(J10:J43)</f>
        <v>0</v>
      </c>
      <c r="K46" s="83"/>
      <c r="L46" s="83"/>
      <c r="M46" s="68">
        <f>MIN(M10:M43)</f>
        <v>0</v>
      </c>
      <c r="N46" s="31"/>
      <c r="O46" s="31"/>
      <c r="P46" s="68">
        <f>MIN(P10:P43)</f>
        <v>0</v>
      </c>
      <c r="Q46" s="31"/>
      <c r="R46" s="31"/>
      <c r="S46" s="68">
        <f>MIN(S10:S43)</f>
        <v>0</v>
      </c>
      <c r="T46" s="31"/>
      <c r="U46" s="31"/>
      <c r="V46" s="68">
        <f>MIN(V10:V43)</f>
        <v>0</v>
      </c>
      <c r="W46" s="31"/>
      <c r="X46" s="31"/>
      <c r="Y46" s="68">
        <f>MIN(Y10:Y43)</f>
        <v>0</v>
      </c>
      <c r="Z46" s="31"/>
      <c r="AA46" s="31"/>
      <c r="AB46" s="68">
        <f>MIN(AB10:AB43)</f>
        <v>0</v>
      </c>
      <c r="AC46" s="31"/>
      <c r="AD46" s="31"/>
      <c r="AE46" s="68">
        <f>MIN(AE10:AE43)</f>
        <v>0</v>
      </c>
      <c r="AF46" s="31"/>
      <c r="AG46" s="69">
        <f>MIN(AG10:AG43)</f>
        <v>0</v>
      </c>
      <c r="AH46" s="31"/>
    </row>
    <row r="47" spans="1:36" ht="18.600000000000001" customHeight="1">
      <c r="A47" s="223" t="s">
        <v>34</v>
      </c>
      <c r="B47" s="223"/>
      <c r="C47" s="223"/>
      <c r="D47" s="223"/>
      <c r="E47" s="223"/>
      <c r="F47" s="80"/>
      <c r="G47" s="81">
        <f>MAX(G10:G43)</f>
        <v>17</v>
      </c>
      <c r="H47" s="83"/>
      <c r="I47" s="83"/>
      <c r="J47" s="81">
        <f>MAX(J10:J43)</f>
        <v>20</v>
      </c>
      <c r="K47" s="83"/>
      <c r="L47" s="83"/>
      <c r="M47" s="68">
        <f>MAX(M10:M43)</f>
        <v>13</v>
      </c>
      <c r="N47" s="31"/>
      <c r="O47" s="31"/>
      <c r="P47" s="68">
        <f>MAX(P10:P43)</f>
        <v>13</v>
      </c>
      <c r="Q47" s="31"/>
      <c r="R47" s="31"/>
      <c r="S47" s="68">
        <f>MAX(S10:S43)</f>
        <v>11</v>
      </c>
      <c r="T47" s="31"/>
      <c r="U47" s="31"/>
      <c r="V47" s="68">
        <f>MAX(V10:V43)</f>
        <v>17</v>
      </c>
      <c r="W47" s="31"/>
      <c r="X47" s="31"/>
      <c r="Y47" s="68">
        <f>MAX(Y10:Y43)</f>
        <v>14</v>
      </c>
      <c r="Z47" s="31"/>
      <c r="AA47" s="31"/>
      <c r="AB47" s="68">
        <f>MAX(AB10:AB43)</f>
        <v>11</v>
      </c>
      <c r="AC47" s="31"/>
      <c r="AD47" s="31"/>
      <c r="AE47" s="68">
        <f>MAX(AE10:AE43)</f>
        <v>10</v>
      </c>
      <c r="AF47" s="31"/>
      <c r="AG47" s="69">
        <f>MAX(AG10:AG43)</f>
        <v>8</v>
      </c>
      <c r="AH47" s="31"/>
    </row>
    <row r="48" spans="1:36">
      <c r="A48" s="222"/>
      <c r="B48" s="222"/>
      <c r="C48" s="222"/>
      <c r="D48" s="222"/>
      <c r="E48" s="222"/>
      <c r="F48" s="84"/>
      <c r="G48" s="84"/>
      <c r="H48" s="84"/>
      <c r="I48" s="84"/>
      <c r="J48" s="84"/>
      <c r="K48" s="84"/>
      <c r="L48" s="84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</row>
    <row r="49" spans="1:32">
      <c r="A49" s="52"/>
      <c r="B49" s="52"/>
      <c r="C49" s="52"/>
      <c r="D49" s="52"/>
      <c r="F49" s="84"/>
      <c r="G49" s="84"/>
      <c r="H49" s="84"/>
      <c r="I49" s="84"/>
      <c r="J49" s="84"/>
      <c r="K49" s="84"/>
      <c r="L49" s="84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</row>
    <row r="50" spans="1:32" ht="13.5" customHeight="1">
      <c r="A50" s="52"/>
      <c r="B50" s="52"/>
      <c r="C50" s="52"/>
      <c r="D50" s="52"/>
      <c r="F50" s="84"/>
      <c r="G50" s="84"/>
      <c r="H50" s="84"/>
      <c r="I50" s="84"/>
      <c r="J50" s="84"/>
      <c r="K50" s="84"/>
      <c r="L50" s="84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</row>
    <row r="51" spans="1:32" hidden="1">
      <c r="A51" s="52"/>
      <c r="B51" s="52"/>
      <c r="C51" s="40" t="s">
        <v>30</v>
      </c>
      <c r="D51" s="52"/>
      <c r="F51" s="84"/>
      <c r="G51" s="84"/>
      <c r="H51" s="84"/>
      <c r="I51" s="84"/>
      <c r="J51" s="84"/>
      <c r="K51" s="84"/>
      <c r="L51" s="84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</row>
    <row r="52" spans="1:32" hidden="1">
      <c r="A52" s="52"/>
      <c r="B52" s="52"/>
      <c r="C52" s="40" t="s">
        <v>31</v>
      </c>
      <c r="D52" s="52"/>
      <c r="F52" s="84"/>
      <c r="G52" s="84"/>
      <c r="H52" s="84"/>
      <c r="I52" s="84"/>
      <c r="J52" s="84"/>
      <c r="K52" s="84"/>
      <c r="L52" s="84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</row>
    <row r="53" spans="1:32">
      <c r="A53" s="52"/>
      <c r="B53" s="52"/>
      <c r="C53" s="52"/>
      <c r="D53" s="52"/>
      <c r="F53" s="84"/>
      <c r="G53" s="84"/>
      <c r="H53" s="84"/>
      <c r="I53" s="84"/>
      <c r="J53" s="84"/>
      <c r="K53" s="84"/>
      <c r="L53" s="84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</row>
    <row r="54" spans="1:32">
      <c r="A54" s="52"/>
      <c r="B54" s="52"/>
      <c r="C54" s="52"/>
      <c r="D54" s="52"/>
      <c r="F54" s="84"/>
      <c r="G54" s="84"/>
      <c r="H54" s="84"/>
      <c r="I54" s="84"/>
      <c r="J54" s="84"/>
      <c r="K54" s="84"/>
      <c r="L54" s="84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</row>
    <row r="55" spans="1:32">
      <c r="A55" s="52"/>
      <c r="B55" s="52"/>
      <c r="C55" s="52"/>
      <c r="D55" s="52"/>
      <c r="F55" s="84"/>
      <c r="G55" s="84"/>
      <c r="H55" s="84"/>
      <c r="I55" s="84"/>
      <c r="J55" s="84"/>
      <c r="K55" s="84"/>
      <c r="L55" s="84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</row>
    <row r="56" spans="1:32">
      <c r="A56" s="222"/>
      <c r="B56" s="222"/>
      <c r="C56" s="222"/>
      <c r="D56" s="222"/>
      <c r="E56" s="222"/>
      <c r="F56" s="84"/>
      <c r="G56" s="84"/>
      <c r="H56" s="84"/>
      <c r="I56" s="84"/>
      <c r="J56" s="84"/>
      <c r="K56" s="84"/>
      <c r="L56" s="84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</row>
    <row r="57" spans="1:32">
      <c r="A57" s="222"/>
      <c r="B57" s="222"/>
      <c r="C57" s="222"/>
      <c r="D57" s="222"/>
      <c r="E57" s="222"/>
      <c r="F57" s="84"/>
      <c r="G57" s="84"/>
      <c r="H57" s="84"/>
      <c r="I57" s="84"/>
      <c r="J57" s="84"/>
      <c r="K57" s="84"/>
      <c r="L57" s="84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</row>
    <row r="58" spans="1:32">
      <c r="A58" s="222"/>
      <c r="B58" s="222"/>
      <c r="C58" s="222"/>
      <c r="D58" s="222"/>
      <c r="E58" s="222"/>
      <c r="F58" s="84"/>
      <c r="G58" s="84"/>
      <c r="H58" s="84"/>
      <c r="I58" s="84"/>
      <c r="J58" s="84"/>
      <c r="K58" s="84"/>
      <c r="L58" s="84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</row>
    <row r="59" spans="1:32">
      <c r="A59" s="222"/>
      <c r="B59" s="222"/>
      <c r="C59" s="222"/>
      <c r="D59" s="222"/>
      <c r="E59" s="222"/>
      <c r="F59" s="84"/>
      <c r="G59" s="84"/>
      <c r="H59" s="84"/>
      <c r="I59" s="84"/>
      <c r="J59" s="84"/>
      <c r="K59" s="84"/>
      <c r="L59" s="84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</row>
    <row r="60" spans="1:32">
      <c r="A60" s="222"/>
      <c r="B60" s="222"/>
      <c r="C60" s="222"/>
      <c r="D60" s="222"/>
      <c r="E60" s="222"/>
      <c r="F60" s="84"/>
      <c r="G60" s="84"/>
      <c r="H60" s="84"/>
      <c r="I60" s="84"/>
      <c r="J60" s="84"/>
      <c r="K60" s="84"/>
      <c r="L60" s="84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</row>
    <row r="61" spans="1:32">
      <c r="A61" s="222"/>
      <c r="B61" s="222"/>
      <c r="C61" s="222"/>
      <c r="D61" s="222"/>
      <c r="E61" s="222"/>
      <c r="F61" s="84"/>
      <c r="G61" s="84"/>
      <c r="H61" s="84"/>
      <c r="I61" s="84"/>
      <c r="J61" s="84"/>
      <c r="K61" s="84"/>
      <c r="L61" s="84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</row>
    <row r="62" spans="1:32">
      <c r="A62" s="222"/>
      <c r="B62" s="222"/>
      <c r="C62" s="222"/>
      <c r="D62" s="222"/>
      <c r="E62" s="222"/>
      <c r="F62" s="84"/>
      <c r="G62" s="84"/>
      <c r="H62" s="84"/>
      <c r="I62" s="84"/>
      <c r="J62" s="84"/>
      <c r="K62" s="84"/>
      <c r="L62" s="84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</row>
    <row r="63" spans="1:32">
      <c r="A63" s="222"/>
      <c r="B63" s="222"/>
      <c r="C63" s="222"/>
      <c r="D63" s="222"/>
      <c r="E63" s="222"/>
      <c r="F63" s="84"/>
      <c r="G63" s="84"/>
      <c r="H63" s="84"/>
      <c r="I63" s="84"/>
      <c r="J63" s="84"/>
      <c r="K63" s="84"/>
      <c r="L63" s="84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</row>
    <row r="64" spans="1:32">
      <c r="A64" s="222"/>
      <c r="B64" s="222"/>
      <c r="C64" s="222"/>
      <c r="D64" s="222"/>
      <c r="E64" s="222"/>
      <c r="F64" s="84"/>
      <c r="G64" s="84"/>
      <c r="H64" s="84"/>
      <c r="I64" s="84"/>
      <c r="J64" s="84"/>
      <c r="K64" s="84"/>
      <c r="L64" s="84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</row>
    <row r="65" spans="1:32">
      <c r="A65" s="222"/>
      <c r="B65" s="222"/>
      <c r="C65" s="222"/>
      <c r="D65" s="222"/>
      <c r="E65" s="222"/>
      <c r="F65" s="84"/>
      <c r="G65" s="84"/>
      <c r="H65" s="84"/>
      <c r="I65" s="84"/>
      <c r="J65" s="84"/>
      <c r="K65" s="84"/>
      <c r="L65" s="84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</row>
    <row r="66" spans="1:32">
      <c r="A66" s="222"/>
      <c r="B66" s="222"/>
      <c r="C66" s="222"/>
      <c r="D66" s="222"/>
      <c r="E66" s="222"/>
      <c r="F66" s="84"/>
      <c r="G66" s="84"/>
      <c r="H66" s="84"/>
      <c r="I66" s="84"/>
      <c r="J66" s="84"/>
      <c r="K66" s="84"/>
      <c r="L66" s="84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</row>
    <row r="67" spans="1:32">
      <c r="A67" s="222"/>
      <c r="B67" s="222"/>
      <c r="C67" s="222"/>
      <c r="D67" s="222"/>
      <c r="E67" s="222"/>
      <c r="F67" s="84"/>
      <c r="G67" s="84"/>
      <c r="H67" s="84"/>
      <c r="I67" s="84"/>
      <c r="J67" s="84"/>
      <c r="K67" s="84"/>
      <c r="L67" s="84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</row>
    <row r="68" spans="1:32">
      <c r="A68" s="222"/>
      <c r="B68" s="222"/>
      <c r="C68" s="222"/>
      <c r="D68" s="222"/>
      <c r="E68" s="222"/>
      <c r="F68" s="84"/>
      <c r="G68" s="84"/>
      <c r="H68" s="84"/>
      <c r="I68" s="84"/>
      <c r="J68" s="84"/>
      <c r="K68" s="84"/>
      <c r="L68" s="84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</row>
    <row r="69" spans="1:32">
      <c r="A69" s="222"/>
      <c r="B69" s="222"/>
      <c r="C69" s="222"/>
      <c r="D69" s="222"/>
      <c r="E69" s="222"/>
      <c r="F69" s="84"/>
      <c r="G69" s="84"/>
      <c r="H69" s="84"/>
      <c r="I69" s="84"/>
      <c r="J69" s="84"/>
      <c r="K69" s="84"/>
      <c r="L69" s="84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</row>
    <row r="70" spans="1:32">
      <c r="A70" s="222"/>
      <c r="B70" s="222"/>
      <c r="C70" s="222"/>
      <c r="D70" s="222"/>
      <c r="E70" s="222"/>
      <c r="F70" s="84"/>
      <c r="G70" s="84"/>
      <c r="H70" s="84"/>
      <c r="I70" s="84"/>
      <c r="J70" s="84"/>
      <c r="K70" s="84"/>
      <c r="L70" s="84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</row>
    <row r="71" spans="1:32">
      <c r="A71" s="222"/>
      <c r="B71" s="222"/>
      <c r="C71" s="222"/>
      <c r="D71" s="222"/>
      <c r="E71" s="222"/>
      <c r="F71" s="84"/>
      <c r="G71" s="84"/>
      <c r="H71" s="84"/>
      <c r="I71" s="84"/>
      <c r="J71" s="84"/>
      <c r="K71" s="84"/>
      <c r="L71" s="84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</row>
    <row r="72" spans="1:32">
      <c r="A72" s="222"/>
      <c r="B72" s="222"/>
      <c r="C72" s="222"/>
      <c r="D72" s="222"/>
      <c r="E72" s="222"/>
      <c r="F72" s="84"/>
      <c r="G72" s="84"/>
      <c r="H72" s="84"/>
      <c r="I72" s="84"/>
      <c r="J72" s="84"/>
      <c r="K72" s="84"/>
      <c r="L72" s="84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</row>
    <row r="73" spans="1:32">
      <c r="A73" s="222"/>
      <c r="B73" s="222"/>
      <c r="C73" s="222"/>
      <c r="D73" s="222"/>
      <c r="E73" s="222"/>
      <c r="F73" s="84"/>
      <c r="G73" s="84"/>
      <c r="H73" s="84"/>
      <c r="I73" s="84"/>
      <c r="J73" s="84"/>
      <c r="K73" s="84"/>
      <c r="L73" s="84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</row>
    <row r="74" spans="1:32">
      <c r="A74" s="222"/>
      <c r="B74" s="222"/>
      <c r="C74" s="222"/>
      <c r="D74" s="222"/>
      <c r="E74" s="222"/>
      <c r="F74" s="84"/>
      <c r="G74" s="84"/>
      <c r="H74" s="84"/>
      <c r="I74" s="84"/>
      <c r="J74" s="84"/>
      <c r="K74" s="84"/>
      <c r="L74" s="84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</row>
    <row r="75" spans="1:32">
      <c r="A75" s="222"/>
      <c r="B75" s="222"/>
      <c r="C75" s="222"/>
      <c r="D75" s="222"/>
      <c r="E75" s="222"/>
      <c r="F75" s="84"/>
      <c r="G75" s="84"/>
      <c r="H75" s="84"/>
      <c r="I75" s="84"/>
      <c r="J75" s="84"/>
      <c r="K75" s="84"/>
      <c r="L75" s="84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</row>
    <row r="76" spans="1:32">
      <c r="A76" s="222"/>
      <c r="B76" s="222"/>
      <c r="C76" s="222"/>
      <c r="D76" s="222"/>
      <c r="E76" s="222"/>
      <c r="F76" s="84"/>
      <c r="G76" s="84"/>
      <c r="H76" s="84"/>
      <c r="I76" s="84"/>
      <c r="J76" s="84"/>
      <c r="K76" s="84"/>
      <c r="L76" s="84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</row>
    <row r="77" spans="1:32">
      <c r="A77" s="222"/>
      <c r="B77" s="222"/>
      <c r="C77" s="222"/>
      <c r="D77" s="222"/>
      <c r="E77" s="222"/>
      <c r="F77" s="84"/>
      <c r="G77" s="84"/>
      <c r="H77" s="84"/>
      <c r="I77" s="84"/>
      <c r="J77" s="84"/>
      <c r="K77" s="84"/>
      <c r="L77" s="84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</row>
    <row r="78" spans="1:32">
      <c r="A78" s="222"/>
      <c r="B78" s="222"/>
      <c r="C78" s="222"/>
      <c r="D78" s="222"/>
      <c r="E78" s="222"/>
      <c r="F78" s="84"/>
      <c r="G78" s="84"/>
      <c r="H78" s="84"/>
      <c r="I78" s="84"/>
      <c r="J78" s="84"/>
      <c r="K78" s="84"/>
      <c r="L78" s="84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</row>
    <row r="79" spans="1:32">
      <c r="A79" s="222"/>
      <c r="B79" s="222"/>
      <c r="C79" s="222"/>
      <c r="D79" s="222"/>
      <c r="E79" s="222"/>
      <c r="F79" s="84"/>
      <c r="G79" s="84"/>
      <c r="H79" s="84"/>
      <c r="I79" s="84"/>
      <c r="J79" s="84"/>
      <c r="K79" s="84"/>
      <c r="L79" s="84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</row>
    <row r="80" spans="1:32">
      <c r="A80" s="222"/>
      <c r="B80" s="222"/>
      <c r="C80" s="222"/>
      <c r="D80" s="222"/>
      <c r="E80" s="222"/>
      <c r="F80" s="84"/>
      <c r="G80" s="84"/>
      <c r="H80" s="84"/>
      <c r="I80" s="84"/>
      <c r="J80" s="84"/>
      <c r="K80" s="84"/>
      <c r="L80" s="84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</row>
    <row r="81" spans="1:32">
      <c r="A81" s="222"/>
      <c r="B81" s="222"/>
      <c r="C81" s="222"/>
      <c r="D81" s="222"/>
      <c r="E81" s="222"/>
      <c r="F81" s="84"/>
      <c r="G81" s="84"/>
      <c r="H81" s="84"/>
      <c r="I81" s="84"/>
      <c r="J81" s="84"/>
      <c r="K81" s="84"/>
      <c r="L81" s="84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</row>
    <row r="82" spans="1:32">
      <c r="A82" s="222"/>
      <c r="B82" s="222"/>
      <c r="C82" s="222"/>
      <c r="D82" s="222"/>
      <c r="E82" s="222"/>
      <c r="F82" s="84"/>
      <c r="G82" s="84"/>
      <c r="H82" s="84"/>
      <c r="I82" s="84"/>
      <c r="J82" s="84"/>
      <c r="K82" s="84"/>
      <c r="L82" s="84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</row>
    <row r="83" spans="1:32">
      <c r="A83" s="222"/>
      <c r="B83" s="222"/>
      <c r="C83" s="222"/>
      <c r="D83" s="222"/>
      <c r="E83" s="222"/>
      <c r="F83" s="84"/>
      <c r="G83" s="84"/>
      <c r="H83" s="84"/>
      <c r="I83" s="84"/>
      <c r="J83" s="84"/>
      <c r="K83" s="84"/>
      <c r="L83" s="84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</row>
    <row r="84" spans="1:32">
      <c r="A84" s="222"/>
      <c r="B84" s="222"/>
      <c r="C84" s="222"/>
      <c r="D84" s="222"/>
      <c r="E84" s="222"/>
      <c r="F84" s="84"/>
      <c r="G84" s="84"/>
      <c r="H84" s="84"/>
      <c r="I84" s="84"/>
      <c r="J84" s="84"/>
      <c r="K84" s="84"/>
      <c r="L84" s="84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</row>
    <row r="85" spans="1:32">
      <c r="A85" s="222"/>
      <c r="B85" s="222"/>
      <c r="C85" s="222"/>
      <c r="D85" s="222"/>
      <c r="E85" s="222"/>
      <c r="F85" s="84"/>
      <c r="G85" s="84"/>
      <c r="H85" s="84"/>
      <c r="I85" s="84"/>
      <c r="J85" s="84"/>
      <c r="K85" s="84"/>
      <c r="L85" s="84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</row>
    <row r="86" spans="1:32">
      <c r="A86" s="222"/>
      <c r="B86" s="222"/>
      <c r="C86" s="222"/>
      <c r="D86" s="222"/>
      <c r="E86" s="222"/>
      <c r="F86" s="84"/>
      <c r="G86" s="84"/>
      <c r="H86" s="84"/>
      <c r="I86" s="84"/>
      <c r="J86" s="84"/>
      <c r="K86" s="84"/>
      <c r="L86" s="84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</row>
    <row r="87" spans="1:32">
      <c r="A87" s="222"/>
      <c r="B87" s="222"/>
      <c r="C87" s="222"/>
      <c r="D87" s="222"/>
      <c r="E87" s="222"/>
      <c r="F87" s="84"/>
      <c r="G87" s="84"/>
      <c r="H87" s="84"/>
      <c r="I87" s="84"/>
      <c r="J87" s="84"/>
      <c r="K87" s="84"/>
      <c r="L87" s="84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</row>
    <row r="88" spans="1:32">
      <c r="A88" s="222"/>
      <c r="B88" s="222"/>
      <c r="C88" s="222"/>
      <c r="D88" s="222"/>
      <c r="E88" s="222"/>
      <c r="F88" s="84"/>
      <c r="G88" s="84"/>
      <c r="H88" s="84"/>
      <c r="I88" s="84"/>
      <c r="J88" s="84"/>
      <c r="K88" s="84"/>
      <c r="L88" s="84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</row>
    <row r="89" spans="1:32">
      <c r="A89" s="222"/>
      <c r="B89" s="222"/>
      <c r="C89" s="222"/>
      <c r="D89" s="222"/>
      <c r="E89" s="222"/>
      <c r="F89" s="84"/>
      <c r="G89" s="84"/>
      <c r="H89" s="84"/>
      <c r="I89" s="84"/>
      <c r="J89" s="84"/>
      <c r="K89" s="84"/>
      <c r="L89" s="84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</row>
    <row r="90" spans="1:32">
      <c r="A90" s="222"/>
      <c r="B90" s="222"/>
      <c r="C90" s="222"/>
      <c r="D90" s="222"/>
      <c r="E90" s="222"/>
      <c r="F90" s="84"/>
      <c r="G90" s="84"/>
      <c r="H90" s="84"/>
      <c r="I90" s="84"/>
      <c r="J90" s="84"/>
      <c r="K90" s="84"/>
      <c r="L90" s="84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</row>
    <row r="91" spans="1:32">
      <c r="A91" s="222"/>
      <c r="B91" s="222"/>
      <c r="C91" s="222"/>
      <c r="D91" s="222"/>
      <c r="E91" s="222"/>
      <c r="F91" s="84"/>
      <c r="G91" s="84"/>
      <c r="H91" s="84"/>
      <c r="I91" s="84"/>
      <c r="J91" s="84"/>
      <c r="K91" s="84"/>
      <c r="L91" s="84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</row>
    <row r="92" spans="1:32">
      <c r="A92" s="222"/>
      <c r="B92" s="222"/>
      <c r="C92" s="222"/>
      <c r="D92" s="222"/>
      <c r="E92" s="222"/>
      <c r="F92" s="84"/>
      <c r="G92" s="84"/>
      <c r="H92" s="84"/>
      <c r="I92" s="84"/>
      <c r="J92" s="84"/>
      <c r="K92" s="84"/>
      <c r="L92" s="84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</row>
    <row r="93" spans="1:32">
      <c r="A93" s="222"/>
      <c r="B93" s="222"/>
      <c r="C93" s="222"/>
      <c r="D93" s="222"/>
      <c r="E93" s="222"/>
      <c r="F93" s="84"/>
      <c r="G93" s="84"/>
      <c r="H93" s="84"/>
      <c r="I93" s="84"/>
      <c r="J93" s="84"/>
      <c r="K93" s="84"/>
      <c r="L93" s="84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</row>
    <row r="94" spans="1:32">
      <c r="A94" s="222"/>
      <c r="B94" s="222"/>
      <c r="C94" s="222"/>
      <c r="D94" s="222"/>
      <c r="E94" s="222"/>
      <c r="F94" s="84"/>
      <c r="G94" s="84"/>
      <c r="H94" s="84"/>
      <c r="I94" s="84"/>
      <c r="J94" s="84"/>
      <c r="K94" s="84"/>
      <c r="L94" s="84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</row>
    <row r="95" spans="1:32">
      <c r="A95" s="222"/>
      <c r="B95" s="222"/>
      <c r="C95" s="222"/>
      <c r="D95" s="222"/>
      <c r="E95" s="222"/>
      <c r="F95" s="84"/>
      <c r="G95" s="84"/>
      <c r="H95" s="84"/>
      <c r="I95" s="84"/>
      <c r="J95" s="84"/>
      <c r="K95" s="84"/>
      <c r="L95" s="84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</row>
    <row r="96" spans="1:32">
      <c r="A96" s="222"/>
      <c r="B96" s="222"/>
      <c r="C96" s="222"/>
      <c r="D96" s="222"/>
      <c r="E96" s="222"/>
      <c r="F96" s="84"/>
      <c r="G96" s="84"/>
      <c r="H96" s="84"/>
      <c r="I96" s="84"/>
      <c r="J96" s="84"/>
      <c r="K96" s="84"/>
      <c r="L96" s="84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</row>
    <row r="97" spans="1:32">
      <c r="A97" s="222"/>
      <c r="B97" s="222"/>
      <c r="C97" s="222"/>
      <c r="D97" s="222"/>
      <c r="E97" s="222"/>
      <c r="F97" s="84"/>
      <c r="G97" s="84"/>
      <c r="H97" s="84"/>
      <c r="I97" s="84"/>
      <c r="J97" s="84"/>
      <c r="K97" s="84"/>
      <c r="L97" s="84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</row>
    <row r="98" spans="1:32">
      <c r="A98" s="222"/>
      <c r="B98" s="222"/>
      <c r="C98" s="222"/>
      <c r="D98" s="222"/>
      <c r="E98" s="222"/>
      <c r="F98" s="84"/>
      <c r="G98" s="84"/>
      <c r="H98" s="84"/>
      <c r="I98" s="84"/>
      <c r="J98" s="84"/>
      <c r="K98" s="84"/>
      <c r="L98" s="84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</row>
    <row r="99" spans="1:32">
      <c r="A99" s="222"/>
      <c r="B99" s="222"/>
      <c r="C99" s="222"/>
      <c r="D99" s="222"/>
      <c r="E99" s="222"/>
    </row>
    <row r="100" spans="1:32">
      <c r="A100" s="222"/>
      <c r="B100" s="222"/>
      <c r="C100" s="222"/>
      <c r="D100" s="222"/>
      <c r="E100" s="222"/>
    </row>
    <row r="101" spans="1:32">
      <c r="A101" s="222"/>
      <c r="B101" s="222"/>
      <c r="C101" s="222"/>
      <c r="D101" s="222"/>
      <c r="E101" s="222"/>
    </row>
    <row r="102" spans="1:32">
      <c r="A102" s="222"/>
      <c r="B102" s="222"/>
      <c r="C102" s="222"/>
      <c r="D102" s="222"/>
      <c r="E102" s="222"/>
    </row>
    <row r="103" spans="1:32">
      <c r="A103" s="222"/>
      <c r="B103" s="222"/>
      <c r="C103" s="222"/>
      <c r="D103" s="222"/>
      <c r="E103" s="222"/>
    </row>
    <row r="104" spans="1:32">
      <c r="A104" s="222"/>
      <c r="B104" s="222"/>
      <c r="C104" s="222"/>
      <c r="D104" s="222"/>
      <c r="E104" s="222"/>
    </row>
    <row r="105" spans="1:32">
      <c r="A105" s="222"/>
      <c r="B105" s="222"/>
      <c r="C105" s="222"/>
      <c r="D105" s="222"/>
      <c r="E105" s="222"/>
    </row>
    <row r="106" spans="1:32">
      <c r="A106" s="222"/>
      <c r="B106" s="222"/>
      <c r="C106" s="222"/>
      <c r="D106" s="222"/>
      <c r="E106" s="222"/>
    </row>
    <row r="107" spans="1:32">
      <c r="A107" s="222"/>
      <c r="B107" s="222"/>
      <c r="C107" s="222"/>
      <c r="D107" s="222"/>
      <c r="E107" s="222"/>
    </row>
    <row r="108" spans="1:32">
      <c r="A108" s="222"/>
      <c r="B108" s="222"/>
      <c r="C108" s="222"/>
      <c r="D108" s="222"/>
      <c r="E108" s="222"/>
    </row>
    <row r="109" spans="1:32">
      <c r="A109" s="222"/>
      <c r="B109" s="222"/>
      <c r="C109" s="222"/>
      <c r="D109" s="222"/>
      <c r="E109" s="222"/>
    </row>
    <row r="110" spans="1:32">
      <c r="A110" s="222"/>
      <c r="B110" s="222"/>
      <c r="C110" s="222"/>
      <c r="D110" s="222"/>
      <c r="E110" s="222"/>
    </row>
    <row r="111" spans="1:32">
      <c r="A111" s="222"/>
      <c r="B111" s="222"/>
      <c r="C111" s="222"/>
      <c r="D111" s="222"/>
      <c r="E111" s="222"/>
    </row>
    <row r="112" spans="1:32">
      <c r="A112" s="222"/>
      <c r="B112" s="222"/>
      <c r="C112" s="222"/>
      <c r="D112" s="222"/>
      <c r="E112" s="222"/>
    </row>
    <row r="113" spans="1:5">
      <c r="A113" s="222"/>
      <c r="B113" s="222"/>
      <c r="C113" s="222"/>
      <c r="D113" s="222"/>
      <c r="E113" s="222"/>
    </row>
    <row r="114" spans="1:5">
      <c r="A114" s="222"/>
      <c r="B114" s="222"/>
      <c r="C114" s="222"/>
      <c r="D114" s="222"/>
      <c r="E114" s="222"/>
    </row>
    <row r="115" spans="1:5">
      <c r="A115" s="222"/>
      <c r="B115" s="222"/>
      <c r="C115" s="222"/>
      <c r="D115" s="222"/>
      <c r="E115" s="222"/>
    </row>
    <row r="116" spans="1:5">
      <c r="A116" s="222"/>
      <c r="B116" s="222"/>
      <c r="C116" s="222"/>
      <c r="D116" s="222"/>
      <c r="E116" s="222"/>
    </row>
    <row r="117" spans="1:5">
      <c r="A117" s="222"/>
      <c r="B117" s="222"/>
      <c r="C117" s="222"/>
      <c r="D117" s="222"/>
      <c r="E117" s="222"/>
    </row>
    <row r="118" spans="1:5">
      <c r="A118" s="222"/>
      <c r="B118" s="222"/>
      <c r="C118" s="222"/>
      <c r="D118" s="222"/>
      <c r="E118" s="222"/>
    </row>
    <row r="119" spans="1:5">
      <c r="A119" s="222"/>
      <c r="B119" s="222"/>
      <c r="C119" s="222"/>
      <c r="D119" s="222"/>
      <c r="E119" s="222"/>
    </row>
    <row r="120" spans="1:5">
      <c r="A120" s="222"/>
      <c r="B120" s="222"/>
      <c r="C120" s="222"/>
      <c r="D120" s="222"/>
      <c r="E120" s="222"/>
    </row>
    <row r="121" spans="1:5">
      <c r="A121" s="222"/>
      <c r="B121" s="222"/>
      <c r="C121" s="222"/>
      <c r="D121" s="222"/>
      <c r="E121" s="222"/>
    </row>
    <row r="122" spans="1:5">
      <c r="A122" s="222"/>
      <c r="B122" s="222"/>
      <c r="C122" s="222"/>
      <c r="D122" s="222"/>
      <c r="E122" s="222"/>
    </row>
    <row r="123" spans="1:5">
      <c r="A123" s="222"/>
      <c r="B123" s="222"/>
      <c r="C123" s="222"/>
      <c r="D123" s="222"/>
      <c r="E123" s="222"/>
    </row>
    <row r="124" spans="1:5">
      <c r="A124" s="222"/>
      <c r="B124" s="222"/>
      <c r="C124" s="222"/>
      <c r="D124" s="222"/>
      <c r="E124" s="222"/>
    </row>
    <row r="125" spans="1:5">
      <c r="A125" s="222"/>
      <c r="B125" s="222"/>
      <c r="C125" s="222"/>
      <c r="D125" s="222"/>
      <c r="E125" s="222"/>
    </row>
    <row r="126" spans="1:5">
      <c r="A126" s="222"/>
      <c r="B126" s="222"/>
      <c r="C126" s="222"/>
      <c r="D126" s="222"/>
      <c r="E126" s="222"/>
    </row>
    <row r="127" spans="1:5">
      <c r="A127" s="222"/>
      <c r="B127" s="222"/>
      <c r="C127" s="222"/>
      <c r="D127" s="222"/>
      <c r="E127" s="222"/>
    </row>
    <row r="128" spans="1:5">
      <c r="A128" s="222"/>
      <c r="B128" s="222"/>
      <c r="C128" s="222"/>
      <c r="D128" s="222"/>
      <c r="E128" s="222"/>
    </row>
    <row r="129" spans="1:5">
      <c r="A129" s="222"/>
      <c r="B129" s="222"/>
      <c r="C129" s="222"/>
      <c r="D129" s="222"/>
      <c r="E129" s="222"/>
    </row>
    <row r="130" spans="1:5">
      <c r="A130" s="222"/>
      <c r="B130" s="222"/>
      <c r="C130" s="222"/>
      <c r="D130" s="222"/>
      <c r="E130" s="222"/>
    </row>
    <row r="131" spans="1:5">
      <c r="A131" s="222"/>
      <c r="B131" s="222"/>
      <c r="C131" s="222"/>
      <c r="D131" s="222"/>
      <c r="E131" s="222"/>
    </row>
    <row r="132" spans="1:5">
      <c r="A132" s="222"/>
      <c r="B132" s="222"/>
      <c r="C132" s="222"/>
      <c r="D132" s="222"/>
      <c r="E132" s="222"/>
    </row>
    <row r="133" spans="1:5">
      <c r="A133" s="222"/>
      <c r="B133" s="222"/>
      <c r="C133" s="222"/>
      <c r="D133" s="222"/>
      <c r="E133" s="222"/>
    </row>
    <row r="134" spans="1:5">
      <c r="A134" s="222"/>
      <c r="B134" s="222"/>
      <c r="C134" s="222"/>
      <c r="D134" s="222"/>
      <c r="E134" s="222"/>
    </row>
    <row r="135" spans="1:5">
      <c r="A135" s="222"/>
      <c r="B135" s="222"/>
      <c r="C135" s="222"/>
      <c r="D135" s="222"/>
      <c r="E135" s="222"/>
    </row>
    <row r="136" spans="1:5">
      <c r="A136" s="222"/>
      <c r="B136" s="222"/>
      <c r="C136" s="222"/>
      <c r="D136" s="222"/>
      <c r="E136" s="222"/>
    </row>
    <row r="137" spans="1:5">
      <c r="A137" s="222"/>
      <c r="B137" s="222"/>
      <c r="C137" s="222"/>
      <c r="D137" s="222"/>
      <c r="E137" s="222"/>
    </row>
    <row r="138" spans="1:5">
      <c r="A138" s="222"/>
      <c r="B138" s="222"/>
      <c r="C138" s="222"/>
      <c r="D138" s="222"/>
      <c r="E138" s="222"/>
    </row>
    <row r="139" spans="1:5">
      <c r="A139" s="222"/>
      <c r="B139" s="222"/>
      <c r="C139" s="222"/>
      <c r="D139" s="222"/>
      <c r="E139" s="222"/>
    </row>
    <row r="140" spans="1:5">
      <c r="A140" s="222"/>
      <c r="B140" s="222"/>
      <c r="C140" s="222"/>
      <c r="D140" s="222"/>
      <c r="E140" s="222"/>
    </row>
    <row r="141" spans="1:5">
      <c r="A141" s="222"/>
      <c r="B141" s="222"/>
      <c r="C141" s="222"/>
      <c r="D141" s="222"/>
      <c r="E141" s="222"/>
    </row>
    <row r="142" spans="1:5">
      <c r="A142" s="222"/>
      <c r="B142" s="222"/>
      <c r="C142" s="222"/>
      <c r="D142" s="222"/>
      <c r="E142" s="222"/>
    </row>
    <row r="143" spans="1:5">
      <c r="A143" s="222"/>
      <c r="B143" s="222"/>
      <c r="C143" s="222"/>
      <c r="D143" s="222"/>
      <c r="E143" s="222"/>
    </row>
    <row r="144" spans="1:5">
      <c r="A144" s="222"/>
      <c r="B144" s="222"/>
      <c r="C144" s="222"/>
      <c r="D144" s="222"/>
      <c r="E144" s="222"/>
    </row>
    <row r="145" spans="1:5">
      <c r="A145" s="222"/>
      <c r="B145" s="222"/>
      <c r="C145" s="222"/>
      <c r="D145" s="222"/>
      <c r="E145" s="222"/>
    </row>
    <row r="146" spans="1:5">
      <c r="A146" s="222"/>
      <c r="B146" s="222"/>
      <c r="C146" s="222"/>
      <c r="D146" s="222"/>
      <c r="E146" s="222"/>
    </row>
    <row r="147" spans="1:5">
      <c r="A147" s="222"/>
      <c r="B147" s="222"/>
      <c r="C147" s="222"/>
      <c r="D147" s="222"/>
      <c r="E147" s="222"/>
    </row>
    <row r="148" spans="1:5">
      <c r="A148" s="222"/>
      <c r="B148" s="222"/>
      <c r="C148" s="222"/>
      <c r="D148" s="222"/>
      <c r="E148" s="222"/>
    </row>
    <row r="149" spans="1:5">
      <c r="A149" s="222"/>
      <c r="B149" s="222"/>
      <c r="C149" s="222"/>
      <c r="D149" s="222"/>
      <c r="E149" s="222"/>
    </row>
    <row r="150" spans="1:5">
      <c r="A150" s="222"/>
      <c r="B150" s="222"/>
      <c r="C150" s="222"/>
      <c r="D150" s="222"/>
      <c r="E150" s="222"/>
    </row>
    <row r="151" spans="1:5">
      <c r="A151" s="222"/>
      <c r="B151" s="222"/>
      <c r="C151" s="222"/>
      <c r="D151" s="222"/>
      <c r="E151" s="222"/>
    </row>
    <row r="152" spans="1:5">
      <c r="A152" s="222"/>
      <c r="B152" s="222"/>
      <c r="C152" s="222"/>
      <c r="D152" s="222"/>
      <c r="E152" s="222"/>
    </row>
    <row r="153" spans="1:5">
      <c r="A153" s="222"/>
      <c r="B153" s="222"/>
      <c r="C153" s="222"/>
      <c r="D153" s="222"/>
      <c r="E153" s="222"/>
    </row>
    <row r="154" spans="1:5">
      <c r="A154" s="222"/>
      <c r="B154" s="222"/>
      <c r="C154" s="222"/>
      <c r="D154" s="222"/>
      <c r="E154" s="222"/>
    </row>
    <row r="155" spans="1:5">
      <c r="A155" s="222"/>
      <c r="B155" s="222"/>
      <c r="C155" s="222"/>
      <c r="D155" s="222"/>
      <c r="E155" s="222"/>
    </row>
    <row r="156" spans="1:5">
      <c r="A156" s="222"/>
      <c r="B156" s="222"/>
      <c r="C156" s="222"/>
      <c r="D156" s="222"/>
      <c r="E156" s="222"/>
    </row>
    <row r="157" spans="1:5">
      <c r="A157" s="222"/>
      <c r="B157" s="222"/>
      <c r="C157" s="222"/>
      <c r="D157" s="222"/>
      <c r="E157" s="222"/>
    </row>
    <row r="158" spans="1:5">
      <c r="A158" s="222"/>
      <c r="B158" s="222"/>
      <c r="C158" s="222"/>
      <c r="D158" s="222"/>
      <c r="E158" s="222"/>
    </row>
    <row r="159" spans="1:5">
      <c r="A159" s="222"/>
      <c r="B159" s="222"/>
      <c r="C159" s="222"/>
      <c r="D159" s="222"/>
      <c r="E159" s="222"/>
    </row>
    <row r="160" spans="1:5">
      <c r="A160" s="222"/>
      <c r="B160" s="222"/>
      <c r="C160" s="222"/>
      <c r="D160" s="222"/>
      <c r="E160" s="222"/>
    </row>
    <row r="161" spans="1:5">
      <c r="A161" s="222"/>
      <c r="B161" s="222"/>
      <c r="C161" s="222"/>
      <c r="D161" s="222"/>
      <c r="E161" s="222"/>
    </row>
    <row r="162" spans="1:5">
      <c r="A162" s="222"/>
      <c r="B162" s="222"/>
      <c r="C162" s="222"/>
      <c r="D162" s="222"/>
      <c r="E162" s="222"/>
    </row>
    <row r="163" spans="1:5">
      <c r="A163" s="222"/>
      <c r="B163" s="222"/>
      <c r="C163" s="222"/>
      <c r="D163" s="222"/>
      <c r="E163" s="222"/>
    </row>
    <row r="164" spans="1:5">
      <c r="A164" s="222"/>
      <c r="B164" s="222"/>
      <c r="C164" s="222"/>
      <c r="D164" s="222"/>
      <c r="E164" s="222"/>
    </row>
    <row r="165" spans="1:5">
      <c r="A165" s="222"/>
      <c r="B165" s="222"/>
      <c r="C165" s="222"/>
      <c r="D165" s="222"/>
      <c r="E165" s="222"/>
    </row>
    <row r="166" spans="1:5">
      <c r="A166" s="222"/>
      <c r="B166" s="222"/>
      <c r="C166" s="222"/>
      <c r="D166" s="222"/>
      <c r="E166" s="222"/>
    </row>
    <row r="167" spans="1:5">
      <c r="A167" s="222"/>
      <c r="B167" s="222"/>
      <c r="C167" s="222"/>
      <c r="D167" s="222"/>
      <c r="E167" s="222"/>
    </row>
    <row r="168" spans="1:5">
      <c r="A168" s="222"/>
      <c r="B168" s="222"/>
      <c r="C168" s="222"/>
      <c r="D168" s="222"/>
      <c r="E168" s="222"/>
    </row>
    <row r="169" spans="1:5">
      <c r="A169" s="222"/>
      <c r="B169" s="222"/>
      <c r="C169" s="222"/>
      <c r="D169" s="222"/>
      <c r="E169" s="222"/>
    </row>
    <row r="170" spans="1:5">
      <c r="A170" s="222"/>
      <c r="B170" s="222"/>
      <c r="C170" s="222"/>
      <c r="D170" s="222"/>
      <c r="E170" s="222"/>
    </row>
    <row r="171" spans="1:5">
      <c r="A171" s="222"/>
      <c r="B171" s="222"/>
      <c r="C171" s="222"/>
      <c r="D171" s="222"/>
      <c r="E171" s="222"/>
    </row>
    <row r="172" spans="1:5">
      <c r="A172" s="222"/>
      <c r="B172" s="222"/>
      <c r="C172" s="222"/>
      <c r="D172" s="222"/>
      <c r="E172" s="222"/>
    </row>
    <row r="173" spans="1:5">
      <c r="A173" s="222"/>
      <c r="B173" s="222"/>
      <c r="C173" s="222"/>
      <c r="D173" s="222"/>
      <c r="E173" s="222"/>
    </row>
    <row r="174" spans="1:5">
      <c r="A174" s="222"/>
      <c r="B174" s="222"/>
      <c r="C174" s="222"/>
      <c r="D174" s="222"/>
      <c r="E174" s="222"/>
    </row>
    <row r="175" spans="1:5">
      <c r="A175" s="222"/>
      <c r="B175" s="222"/>
      <c r="C175" s="222"/>
      <c r="D175" s="222"/>
      <c r="E175" s="222"/>
    </row>
    <row r="176" spans="1:5">
      <c r="A176" s="222"/>
      <c r="B176" s="222"/>
      <c r="C176" s="222"/>
      <c r="D176" s="222"/>
      <c r="E176" s="222"/>
    </row>
    <row r="177" spans="1:5">
      <c r="A177" s="222"/>
      <c r="B177" s="222"/>
      <c r="C177" s="222"/>
      <c r="D177" s="222"/>
      <c r="E177" s="222"/>
    </row>
    <row r="178" spans="1:5">
      <c r="A178" s="222"/>
      <c r="B178" s="222"/>
      <c r="C178" s="222"/>
      <c r="D178" s="222"/>
      <c r="E178" s="222"/>
    </row>
    <row r="179" spans="1:5">
      <c r="A179" s="222"/>
      <c r="B179" s="222"/>
      <c r="C179" s="222"/>
      <c r="D179" s="222"/>
      <c r="E179" s="222"/>
    </row>
    <row r="180" spans="1:5">
      <c r="A180" s="222"/>
      <c r="B180" s="222"/>
      <c r="C180" s="222"/>
      <c r="D180" s="222"/>
      <c r="E180" s="222"/>
    </row>
    <row r="181" spans="1:5">
      <c r="A181" s="222"/>
      <c r="B181" s="222"/>
      <c r="C181" s="222"/>
      <c r="D181" s="222"/>
      <c r="E181" s="222"/>
    </row>
    <row r="182" spans="1:5">
      <c r="A182" s="222"/>
      <c r="B182" s="222"/>
      <c r="C182" s="222"/>
      <c r="D182" s="222"/>
      <c r="E182" s="222"/>
    </row>
    <row r="183" spans="1:5">
      <c r="A183" s="222"/>
      <c r="B183" s="222"/>
      <c r="C183" s="222"/>
      <c r="D183" s="222"/>
      <c r="E183" s="222"/>
    </row>
    <row r="184" spans="1:5">
      <c r="A184" s="222"/>
      <c r="B184" s="222"/>
      <c r="C184" s="222"/>
      <c r="D184" s="222"/>
      <c r="E184" s="222"/>
    </row>
    <row r="185" spans="1:5">
      <c r="A185" s="222"/>
      <c r="B185" s="222"/>
      <c r="C185" s="222"/>
      <c r="D185" s="222"/>
      <c r="E185" s="222"/>
    </row>
    <row r="186" spans="1:5">
      <c r="A186" s="222"/>
      <c r="B186" s="222"/>
      <c r="C186" s="222"/>
      <c r="D186" s="222"/>
      <c r="E186" s="222"/>
    </row>
    <row r="187" spans="1:5">
      <c r="A187" s="222"/>
      <c r="B187" s="222"/>
      <c r="C187" s="222"/>
      <c r="D187" s="222"/>
      <c r="E187" s="222"/>
    </row>
    <row r="188" spans="1:5">
      <c r="A188" s="222"/>
      <c r="B188" s="222"/>
      <c r="C188" s="222"/>
      <c r="D188" s="222"/>
      <c r="E188" s="222"/>
    </row>
    <row r="189" spans="1:5">
      <c r="A189" s="222"/>
      <c r="B189" s="222"/>
      <c r="C189" s="222"/>
      <c r="D189" s="222"/>
      <c r="E189" s="222"/>
    </row>
    <row r="190" spans="1:5">
      <c r="A190" s="222"/>
      <c r="B190" s="222"/>
      <c r="C190" s="222"/>
      <c r="D190" s="222"/>
      <c r="E190" s="222"/>
    </row>
    <row r="191" spans="1:5">
      <c r="A191" s="222"/>
      <c r="B191" s="222"/>
      <c r="C191" s="222"/>
      <c r="D191" s="222"/>
      <c r="E191" s="222"/>
    </row>
    <row r="192" spans="1:5">
      <c r="A192" s="222"/>
      <c r="B192" s="222"/>
      <c r="C192" s="222"/>
      <c r="D192" s="222"/>
      <c r="E192" s="222"/>
    </row>
    <row r="193" spans="1:5">
      <c r="A193" s="222"/>
      <c r="B193" s="222"/>
      <c r="C193" s="222"/>
      <c r="D193" s="222"/>
      <c r="E193" s="222"/>
    </row>
    <row r="194" spans="1:5">
      <c r="A194" s="222"/>
      <c r="B194" s="222"/>
      <c r="C194" s="222"/>
      <c r="D194" s="222"/>
      <c r="E194" s="222"/>
    </row>
    <row r="195" spans="1:5">
      <c r="A195" s="222"/>
      <c r="B195" s="222"/>
      <c r="C195" s="222"/>
      <c r="D195" s="222"/>
      <c r="E195" s="222"/>
    </row>
    <row r="196" spans="1:5">
      <c r="A196" s="222"/>
      <c r="B196" s="222"/>
      <c r="C196" s="222"/>
      <c r="D196" s="222"/>
      <c r="E196" s="222"/>
    </row>
    <row r="197" spans="1:5">
      <c r="A197" s="222"/>
      <c r="B197" s="222"/>
      <c r="C197" s="222"/>
      <c r="D197" s="222"/>
      <c r="E197" s="222"/>
    </row>
    <row r="198" spans="1:5">
      <c r="A198" s="222"/>
      <c r="B198" s="222"/>
      <c r="C198" s="222"/>
      <c r="D198" s="222"/>
      <c r="E198" s="222"/>
    </row>
    <row r="199" spans="1:5">
      <c r="A199" s="222"/>
      <c r="B199" s="222"/>
      <c r="C199" s="222"/>
      <c r="D199" s="222"/>
      <c r="E199" s="222"/>
    </row>
    <row r="200" spans="1:5">
      <c r="A200" s="222"/>
      <c r="B200" s="222"/>
      <c r="C200" s="222"/>
      <c r="D200" s="222"/>
      <c r="E200" s="222"/>
    </row>
    <row r="201" spans="1:5">
      <c r="A201" s="222"/>
      <c r="B201" s="222"/>
      <c r="C201" s="222"/>
      <c r="D201" s="222"/>
      <c r="E201" s="222"/>
    </row>
    <row r="202" spans="1:5">
      <c r="A202" s="222"/>
      <c r="B202" s="222"/>
      <c r="C202" s="222"/>
      <c r="D202" s="222"/>
      <c r="E202" s="222"/>
    </row>
    <row r="203" spans="1:5">
      <c r="A203" s="222"/>
      <c r="B203" s="222"/>
      <c r="C203" s="222"/>
      <c r="D203" s="222"/>
      <c r="E203" s="222"/>
    </row>
    <row r="204" spans="1:5">
      <c r="A204" s="222"/>
      <c r="B204" s="222"/>
      <c r="C204" s="222"/>
      <c r="D204" s="222"/>
      <c r="E204" s="222"/>
    </row>
    <row r="205" spans="1:5">
      <c r="A205" s="222"/>
      <c r="B205" s="222"/>
      <c r="C205" s="222"/>
      <c r="D205" s="222"/>
      <c r="E205" s="222"/>
    </row>
    <row r="206" spans="1:5">
      <c r="A206" s="222"/>
      <c r="B206" s="222"/>
      <c r="C206" s="222"/>
      <c r="D206" s="222"/>
      <c r="E206" s="222"/>
    </row>
    <row r="207" spans="1:5">
      <c r="A207" s="222"/>
      <c r="B207" s="222"/>
      <c r="C207" s="222"/>
      <c r="D207" s="222"/>
      <c r="E207" s="222"/>
    </row>
    <row r="208" spans="1:5">
      <c r="A208" s="222"/>
      <c r="B208" s="222"/>
      <c r="C208" s="222"/>
      <c r="D208" s="222"/>
      <c r="E208" s="222"/>
    </row>
    <row r="209" spans="1:5">
      <c r="A209" s="222"/>
      <c r="B209" s="222"/>
      <c r="C209" s="222"/>
      <c r="D209" s="222"/>
      <c r="E209" s="222"/>
    </row>
    <row r="210" spans="1:5">
      <c r="A210" s="222"/>
      <c r="B210" s="222"/>
      <c r="C210" s="222"/>
      <c r="D210" s="222"/>
      <c r="E210" s="222"/>
    </row>
    <row r="211" spans="1:5">
      <c r="A211" s="222"/>
      <c r="B211" s="222"/>
      <c r="C211" s="222"/>
      <c r="D211" s="222"/>
      <c r="E211" s="222"/>
    </row>
    <row r="212" spans="1:5">
      <c r="A212" s="222"/>
      <c r="B212" s="222"/>
      <c r="C212" s="222"/>
      <c r="D212" s="222"/>
      <c r="E212" s="222"/>
    </row>
    <row r="213" spans="1:5">
      <c r="A213" s="222"/>
      <c r="B213" s="222"/>
      <c r="C213" s="222"/>
      <c r="D213" s="222"/>
      <c r="E213" s="222"/>
    </row>
    <row r="214" spans="1:5">
      <c r="A214" s="222"/>
      <c r="B214" s="222"/>
      <c r="C214" s="222"/>
      <c r="D214" s="222"/>
      <c r="E214" s="222"/>
    </row>
    <row r="215" spans="1:5">
      <c r="A215" s="222"/>
      <c r="B215" s="222"/>
      <c r="C215" s="222"/>
      <c r="D215" s="222"/>
      <c r="E215" s="222"/>
    </row>
    <row r="216" spans="1:5">
      <c r="A216" s="222"/>
      <c r="B216" s="222"/>
      <c r="C216" s="222"/>
      <c r="D216" s="222"/>
      <c r="E216" s="222"/>
    </row>
    <row r="217" spans="1:5">
      <c r="A217" s="222"/>
      <c r="B217" s="222"/>
      <c r="C217" s="222"/>
      <c r="D217" s="222"/>
      <c r="E217" s="222"/>
    </row>
    <row r="218" spans="1:5">
      <c r="A218" s="222"/>
      <c r="B218" s="222"/>
      <c r="C218" s="222"/>
      <c r="D218" s="222"/>
      <c r="E218" s="222"/>
    </row>
    <row r="219" spans="1:5">
      <c r="A219" s="222"/>
      <c r="B219" s="222"/>
      <c r="C219" s="222"/>
      <c r="D219" s="222"/>
      <c r="E219" s="222"/>
    </row>
    <row r="220" spans="1:5">
      <c r="A220" s="222"/>
      <c r="B220" s="222"/>
      <c r="C220" s="222"/>
      <c r="D220" s="222"/>
      <c r="E220" s="222"/>
    </row>
    <row r="221" spans="1:5">
      <c r="A221" s="222"/>
      <c r="B221" s="222"/>
      <c r="C221" s="222"/>
      <c r="D221" s="222"/>
      <c r="E221" s="222"/>
    </row>
    <row r="222" spans="1:5">
      <c r="A222" s="222"/>
      <c r="B222" s="222"/>
      <c r="C222" s="222"/>
      <c r="D222" s="222"/>
      <c r="E222" s="222"/>
    </row>
    <row r="223" spans="1:5">
      <c r="A223" s="222"/>
      <c r="B223" s="222"/>
      <c r="C223" s="222"/>
      <c r="D223" s="222"/>
      <c r="E223" s="222"/>
    </row>
    <row r="224" spans="1:5">
      <c r="A224" s="222"/>
      <c r="B224" s="222"/>
      <c r="C224" s="222"/>
      <c r="D224" s="222"/>
      <c r="E224" s="222"/>
    </row>
    <row r="225" spans="1:5">
      <c r="A225" s="222"/>
      <c r="B225" s="222"/>
      <c r="C225" s="222"/>
      <c r="D225" s="222"/>
      <c r="E225" s="222"/>
    </row>
    <row r="226" spans="1:5">
      <c r="A226" s="222"/>
      <c r="B226" s="222"/>
      <c r="C226" s="222"/>
      <c r="D226" s="222"/>
      <c r="E226" s="222"/>
    </row>
    <row r="227" spans="1:5">
      <c r="A227" s="222"/>
      <c r="B227" s="222"/>
      <c r="C227" s="222"/>
      <c r="D227" s="222"/>
      <c r="E227" s="222"/>
    </row>
    <row r="228" spans="1:5">
      <c r="A228" s="222"/>
      <c r="B228" s="222"/>
      <c r="C228" s="222"/>
      <c r="D228" s="222"/>
      <c r="E228" s="222"/>
    </row>
    <row r="229" spans="1:5">
      <c r="A229" s="222"/>
      <c r="B229" s="222"/>
      <c r="C229" s="222"/>
      <c r="D229" s="222"/>
      <c r="E229" s="222"/>
    </row>
    <row r="230" spans="1:5">
      <c r="A230" s="222"/>
      <c r="B230" s="222"/>
      <c r="C230" s="222"/>
      <c r="D230" s="222"/>
      <c r="E230" s="222"/>
    </row>
    <row r="231" spans="1:5">
      <c r="A231" s="222"/>
      <c r="B231" s="222"/>
      <c r="C231" s="222"/>
      <c r="D231" s="222"/>
      <c r="E231" s="222"/>
    </row>
    <row r="232" spans="1:5">
      <c r="A232" s="222"/>
      <c r="B232" s="222"/>
      <c r="C232" s="222"/>
      <c r="D232" s="222"/>
      <c r="E232" s="222"/>
    </row>
    <row r="233" spans="1:5">
      <c r="A233" s="222"/>
      <c r="B233" s="222"/>
      <c r="C233" s="222"/>
      <c r="D233" s="222"/>
      <c r="E233" s="222"/>
    </row>
    <row r="234" spans="1:5">
      <c r="A234" s="222"/>
      <c r="B234" s="222"/>
      <c r="C234" s="222"/>
      <c r="D234" s="222"/>
      <c r="E234" s="222"/>
    </row>
    <row r="235" spans="1:5">
      <c r="A235" s="222"/>
      <c r="B235" s="222"/>
      <c r="C235" s="222"/>
      <c r="D235" s="222"/>
      <c r="E235" s="222"/>
    </row>
    <row r="236" spans="1:5">
      <c r="A236" s="222"/>
      <c r="B236" s="222"/>
      <c r="C236" s="222"/>
      <c r="D236" s="222"/>
      <c r="E236" s="222"/>
    </row>
    <row r="237" spans="1:5">
      <c r="A237" s="222"/>
      <c r="B237" s="222"/>
      <c r="C237" s="222"/>
      <c r="D237" s="222"/>
      <c r="E237" s="222"/>
    </row>
    <row r="238" spans="1:5">
      <c r="A238" s="222"/>
      <c r="B238" s="222"/>
      <c r="C238" s="222"/>
      <c r="D238" s="222"/>
      <c r="E238" s="222"/>
    </row>
    <row r="239" spans="1:5">
      <c r="A239" s="222"/>
      <c r="B239" s="222"/>
      <c r="C239" s="222"/>
      <c r="D239" s="222"/>
      <c r="E239" s="222"/>
    </row>
    <row r="240" spans="1:5">
      <c r="A240" s="222"/>
      <c r="B240" s="222"/>
      <c r="C240" s="222"/>
      <c r="D240" s="222"/>
      <c r="E240" s="222"/>
    </row>
    <row r="241" spans="1:5">
      <c r="A241" s="222"/>
      <c r="B241" s="222"/>
      <c r="C241" s="222"/>
      <c r="D241" s="222"/>
      <c r="E241" s="222"/>
    </row>
    <row r="242" spans="1:5">
      <c r="A242" s="222"/>
      <c r="B242" s="222"/>
      <c r="C242" s="222"/>
      <c r="D242" s="222"/>
      <c r="E242" s="222"/>
    </row>
    <row r="243" spans="1:5">
      <c r="A243" s="222"/>
      <c r="B243" s="222"/>
      <c r="C243" s="222"/>
      <c r="D243" s="222"/>
      <c r="E243" s="222"/>
    </row>
    <row r="244" spans="1:5">
      <c r="A244" s="222"/>
      <c r="B244" s="222"/>
      <c r="C244" s="222"/>
      <c r="D244" s="222"/>
      <c r="E244" s="222"/>
    </row>
    <row r="245" spans="1:5">
      <c r="A245" s="222"/>
      <c r="B245" s="222"/>
      <c r="C245" s="222"/>
      <c r="D245" s="222"/>
      <c r="E245" s="222"/>
    </row>
    <row r="246" spans="1:5">
      <c r="A246" s="222"/>
      <c r="B246" s="222"/>
      <c r="C246" s="222"/>
      <c r="D246" s="222"/>
      <c r="E246" s="222"/>
    </row>
    <row r="247" spans="1:5">
      <c r="A247" s="222"/>
      <c r="B247" s="222"/>
      <c r="C247" s="222"/>
      <c r="D247" s="222"/>
      <c r="E247" s="222"/>
    </row>
    <row r="248" spans="1:5">
      <c r="A248" s="222"/>
      <c r="B248" s="222"/>
      <c r="C248" s="222"/>
      <c r="D248" s="222"/>
      <c r="E248" s="222"/>
    </row>
    <row r="249" spans="1:5">
      <c r="A249" s="222"/>
      <c r="B249" s="222"/>
      <c r="C249" s="222"/>
      <c r="D249" s="222"/>
      <c r="E249" s="222"/>
    </row>
    <row r="250" spans="1:5">
      <c r="A250" s="222"/>
      <c r="B250" s="222"/>
      <c r="C250" s="222"/>
      <c r="D250" s="222"/>
      <c r="E250" s="222"/>
    </row>
    <row r="251" spans="1:5">
      <c r="A251" s="222"/>
      <c r="B251" s="222"/>
      <c r="C251" s="222"/>
      <c r="D251" s="222"/>
      <c r="E251" s="222"/>
    </row>
    <row r="252" spans="1:5">
      <c r="A252" s="222"/>
      <c r="B252" s="222"/>
      <c r="C252" s="222"/>
      <c r="D252" s="222"/>
      <c r="E252" s="222"/>
    </row>
    <row r="253" spans="1:5">
      <c r="A253" s="222"/>
      <c r="B253" s="222"/>
      <c r="C253" s="222"/>
      <c r="D253" s="222"/>
      <c r="E253" s="222"/>
    </row>
    <row r="254" spans="1:5">
      <c r="A254" s="222"/>
      <c r="B254" s="222"/>
      <c r="C254" s="222"/>
      <c r="D254" s="222"/>
      <c r="E254" s="222"/>
    </row>
    <row r="255" spans="1:5">
      <c r="A255" s="222"/>
      <c r="B255" s="222"/>
      <c r="C255" s="222"/>
      <c r="D255" s="222"/>
      <c r="E255" s="222"/>
    </row>
    <row r="256" spans="1:5">
      <c r="A256" s="222"/>
      <c r="B256" s="222"/>
      <c r="C256" s="222"/>
      <c r="D256" s="222"/>
      <c r="E256" s="222"/>
    </row>
    <row r="257" spans="1:5">
      <c r="A257" s="222"/>
      <c r="B257" s="222"/>
      <c r="C257" s="222"/>
      <c r="D257" s="222"/>
      <c r="E257" s="222"/>
    </row>
    <row r="258" spans="1:5">
      <c r="A258" s="222"/>
      <c r="B258" s="222"/>
      <c r="C258" s="222"/>
      <c r="D258" s="222"/>
      <c r="E258" s="222"/>
    </row>
    <row r="259" spans="1:5">
      <c r="A259" s="222"/>
      <c r="B259" s="222"/>
      <c r="C259" s="222"/>
      <c r="D259" s="222"/>
      <c r="E259" s="222"/>
    </row>
    <row r="260" spans="1:5">
      <c r="A260" s="222"/>
      <c r="B260" s="222"/>
      <c r="C260" s="222"/>
      <c r="D260" s="222"/>
      <c r="E260" s="222"/>
    </row>
    <row r="261" spans="1:5">
      <c r="A261" s="222"/>
      <c r="B261" s="222"/>
      <c r="C261" s="222"/>
      <c r="D261" s="222"/>
      <c r="E261" s="222"/>
    </row>
    <row r="262" spans="1:5">
      <c r="A262" s="222"/>
      <c r="B262" s="222"/>
      <c r="C262" s="222"/>
      <c r="D262" s="222"/>
      <c r="E262" s="222"/>
    </row>
    <row r="263" spans="1:5">
      <c r="A263" s="222"/>
      <c r="B263" s="222"/>
      <c r="C263" s="222"/>
      <c r="D263" s="222"/>
      <c r="E263" s="222"/>
    </row>
    <row r="264" spans="1:5">
      <c r="A264" s="222"/>
      <c r="B264" s="222"/>
      <c r="C264" s="222"/>
      <c r="D264" s="222"/>
      <c r="E264" s="222"/>
    </row>
    <row r="265" spans="1:5">
      <c r="A265" s="222"/>
      <c r="B265" s="222"/>
      <c r="C265" s="222"/>
      <c r="D265" s="222"/>
      <c r="E265" s="222"/>
    </row>
    <row r="266" spans="1:5">
      <c r="A266" s="222"/>
      <c r="B266" s="222"/>
      <c r="C266" s="222"/>
      <c r="D266" s="222"/>
      <c r="E266" s="222"/>
    </row>
    <row r="267" spans="1:5">
      <c r="A267" s="222"/>
      <c r="B267" s="222"/>
      <c r="C267" s="222"/>
      <c r="D267" s="222"/>
      <c r="E267" s="222"/>
    </row>
    <row r="268" spans="1:5">
      <c r="A268" s="222"/>
      <c r="B268" s="222"/>
      <c r="C268" s="222"/>
      <c r="D268" s="222"/>
      <c r="E268" s="222"/>
    </row>
    <row r="269" spans="1:5">
      <c r="A269" s="222"/>
      <c r="B269" s="222"/>
      <c r="C269" s="222"/>
      <c r="D269" s="222"/>
      <c r="E269" s="222"/>
    </row>
    <row r="270" spans="1:5">
      <c r="A270" s="222"/>
      <c r="B270" s="222"/>
      <c r="C270" s="222"/>
      <c r="D270" s="222"/>
      <c r="E270" s="222"/>
    </row>
    <row r="271" spans="1:5">
      <c r="A271" s="222"/>
      <c r="B271" s="222"/>
      <c r="C271" s="222"/>
      <c r="D271" s="222"/>
      <c r="E271" s="222"/>
    </row>
    <row r="272" spans="1:5">
      <c r="A272" s="222"/>
      <c r="B272" s="222"/>
      <c r="C272" s="222"/>
      <c r="D272" s="222"/>
      <c r="E272" s="222"/>
    </row>
    <row r="273" spans="1:5">
      <c r="A273" s="222"/>
      <c r="B273" s="222"/>
      <c r="C273" s="222"/>
      <c r="D273" s="222"/>
      <c r="E273" s="222"/>
    </row>
    <row r="274" spans="1:5">
      <c r="A274" s="222"/>
      <c r="B274" s="222"/>
      <c r="C274" s="222"/>
      <c r="D274" s="222"/>
      <c r="E274" s="222"/>
    </row>
    <row r="275" spans="1:5">
      <c r="A275" s="222"/>
      <c r="B275" s="222"/>
      <c r="C275" s="222"/>
      <c r="D275" s="222"/>
      <c r="E275" s="222"/>
    </row>
    <row r="276" spans="1:5">
      <c r="A276" s="222"/>
      <c r="B276" s="222"/>
      <c r="C276" s="222"/>
      <c r="D276" s="222"/>
      <c r="E276" s="222"/>
    </row>
    <row r="277" spans="1:5">
      <c r="A277" s="222"/>
      <c r="B277" s="222"/>
      <c r="C277" s="222"/>
      <c r="D277" s="222"/>
      <c r="E277" s="222"/>
    </row>
    <row r="278" spans="1:5">
      <c r="A278" s="222"/>
      <c r="B278" s="222"/>
      <c r="C278" s="222"/>
      <c r="D278" s="222"/>
      <c r="E278" s="222"/>
    </row>
    <row r="279" spans="1:5">
      <c r="A279" s="222"/>
      <c r="B279" s="222"/>
      <c r="C279" s="222"/>
      <c r="D279" s="222"/>
      <c r="E279" s="222"/>
    </row>
    <row r="280" spans="1:5">
      <c r="A280" s="222"/>
      <c r="B280" s="222"/>
      <c r="C280" s="222"/>
      <c r="D280" s="222"/>
      <c r="E280" s="222"/>
    </row>
    <row r="281" spans="1:5">
      <c r="A281" s="222"/>
      <c r="B281" s="222"/>
      <c r="C281" s="222"/>
      <c r="D281" s="222"/>
      <c r="E281" s="222"/>
    </row>
    <row r="282" spans="1:5">
      <c r="A282" s="222"/>
      <c r="B282" s="222"/>
      <c r="C282" s="222"/>
      <c r="D282" s="222"/>
      <c r="E282" s="222"/>
    </row>
    <row r="283" spans="1:5">
      <c r="A283" s="222"/>
      <c r="B283" s="222"/>
      <c r="C283" s="222"/>
      <c r="D283" s="222"/>
      <c r="E283" s="222"/>
    </row>
    <row r="284" spans="1:5">
      <c r="A284" s="222"/>
      <c r="B284" s="222"/>
      <c r="C284" s="222"/>
      <c r="D284" s="222"/>
      <c r="E284" s="222"/>
    </row>
    <row r="285" spans="1:5">
      <c r="A285" s="222"/>
      <c r="B285" s="222"/>
      <c r="C285" s="222"/>
      <c r="D285" s="222"/>
      <c r="E285" s="222"/>
    </row>
    <row r="286" spans="1:5">
      <c r="A286" s="222"/>
      <c r="B286" s="222"/>
      <c r="C286" s="222"/>
      <c r="D286" s="222"/>
      <c r="E286" s="222"/>
    </row>
    <row r="287" spans="1:5">
      <c r="A287" s="222"/>
      <c r="B287" s="222"/>
      <c r="C287" s="222"/>
      <c r="D287" s="222"/>
      <c r="E287" s="222"/>
    </row>
    <row r="288" spans="1:5">
      <c r="A288" s="222"/>
      <c r="B288" s="222"/>
      <c r="C288" s="222"/>
      <c r="D288" s="222"/>
      <c r="E288" s="222"/>
    </row>
    <row r="289" spans="1:5">
      <c r="A289" s="222"/>
      <c r="B289" s="222"/>
      <c r="C289" s="222"/>
      <c r="D289" s="222"/>
      <c r="E289" s="222"/>
    </row>
    <row r="290" spans="1:5">
      <c r="A290" s="222"/>
      <c r="B290" s="222"/>
      <c r="C290" s="222"/>
      <c r="D290" s="222"/>
      <c r="E290" s="222"/>
    </row>
    <row r="291" spans="1:5">
      <c r="A291" s="222"/>
      <c r="B291" s="222"/>
      <c r="C291" s="222"/>
      <c r="D291" s="222"/>
      <c r="E291" s="222"/>
    </row>
    <row r="292" spans="1:5">
      <c r="A292" s="222"/>
      <c r="B292" s="222"/>
      <c r="C292" s="222"/>
      <c r="D292" s="222"/>
      <c r="E292" s="222"/>
    </row>
    <row r="293" spans="1:5">
      <c r="A293" s="222"/>
      <c r="B293" s="222"/>
      <c r="C293" s="222"/>
      <c r="D293" s="222"/>
      <c r="E293" s="222"/>
    </row>
    <row r="294" spans="1:5">
      <c r="A294" s="222"/>
      <c r="B294" s="222"/>
      <c r="C294" s="222"/>
      <c r="D294" s="222"/>
      <c r="E294" s="222"/>
    </row>
    <row r="295" spans="1:5">
      <c r="A295" s="222"/>
      <c r="B295" s="222"/>
      <c r="C295" s="222"/>
      <c r="D295" s="222"/>
      <c r="E295" s="222"/>
    </row>
    <row r="296" spans="1:5">
      <c r="A296" s="222"/>
      <c r="B296" s="222"/>
      <c r="C296" s="222"/>
      <c r="D296" s="222"/>
      <c r="E296" s="222"/>
    </row>
    <row r="297" spans="1:5">
      <c r="A297" s="222"/>
      <c r="B297" s="222"/>
      <c r="C297" s="222"/>
      <c r="D297" s="222"/>
      <c r="E297" s="222"/>
    </row>
    <row r="298" spans="1:5">
      <c r="A298" s="222"/>
      <c r="B298" s="222"/>
      <c r="C298" s="222"/>
      <c r="D298" s="222"/>
      <c r="E298" s="222"/>
    </row>
    <row r="299" spans="1:5">
      <c r="A299" s="222"/>
      <c r="B299" s="222"/>
      <c r="C299" s="222"/>
      <c r="D299" s="222"/>
      <c r="E299" s="222"/>
    </row>
    <row r="300" spans="1:5">
      <c r="A300" s="222"/>
      <c r="B300" s="222"/>
      <c r="C300" s="222"/>
      <c r="D300" s="222"/>
      <c r="E300" s="222"/>
    </row>
    <row r="301" spans="1:5">
      <c r="A301" s="222"/>
      <c r="B301" s="222"/>
      <c r="C301" s="222"/>
      <c r="D301" s="222"/>
      <c r="E301" s="222"/>
    </row>
    <row r="302" spans="1:5">
      <c r="A302" s="222"/>
      <c r="B302" s="222"/>
      <c r="C302" s="222"/>
      <c r="D302" s="222"/>
      <c r="E302" s="222"/>
    </row>
    <row r="303" spans="1:5">
      <c r="A303" s="222"/>
      <c r="B303" s="222"/>
      <c r="C303" s="222"/>
      <c r="D303" s="222"/>
      <c r="E303" s="222"/>
    </row>
    <row r="304" spans="1:5">
      <c r="A304" s="222"/>
      <c r="B304" s="222"/>
      <c r="C304" s="222"/>
      <c r="D304" s="222"/>
      <c r="E304" s="222"/>
    </row>
    <row r="305" spans="1:5">
      <c r="A305" s="222"/>
      <c r="B305" s="222"/>
      <c r="C305" s="222"/>
      <c r="D305" s="222"/>
      <c r="E305" s="222"/>
    </row>
    <row r="306" spans="1:5">
      <c r="A306" s="222"/>
      <c r="B306" s="222"/>
      <c r="C306" s="222"/>
      <c r="D306" s="222"/>
      <c r="E306" s="222"/>
    </row>
    <row r="307" spans="1:5">
      <c r="A307" s="222"/>
      <c r="B307" s="222"/>
      <c r="C307" s="222"/>
      <c r="D307" s="222"/>
      <c r="E307" s="222"/>
    </row>
    <row r="308" spans="1:5">
      <c r="A308" s="222"/>
      <c r="B308" s="222"/>
      <c r="C308" s="222"/>
      <c r="D308" s="222"/>
      <c r="E308" s="222"/>
    </row>
    <row r="309" spans="1:5">
      <c r="A309" s="222"/>
      <c r="B309" s="222"/>
      <c r="C309" s="222"/>
      <c r="D309" s="222"/>
      <c r="E309" s="222"/>
    </row>
    <row r="310" spans="1:5">
      <c r="A310" s="222"/>
      <c r="B310" s="222"/>
      <c r="C310" s="222"/>
      <c r="D310" s="222"/>
      <c r="E310" s="222"/>
    </row>
    <row r="311" spans="1:5">
      <c r="A311" s="222"/>
      <c r="B311" s="222"/>
      <c r="C311" s="222"/>
      <c r="D311" s="222"/>
      <c r="E311" s="222"/>
    </row>
    <row r="312" spans="1:5">
      <c r="A312" s="222"/>
      <c r="B312" s="222"/>
      <c r="C312" s="222"/>
      <c r="D312" s="222"/>
      <c r="E312" s="222"/>
    </row>
    <row r="313" spans="1:5">
      <c r="A313" s="222"/>
      <c r="B313" s="222"/>
      <c r="C313" s="222"/>
      <c r="D313" s="222"/>
      <c r="E313" s="222"/>
    </row>
    <row r="314" spans="1:5">
      <c r="A314" s="222"/>
      <c r="B314" s="222"/>
      <c r="C314" s="222"/>
      <c r="D314" s="222"/>
      <c r="E314" s="222"/>
    </row>
    <row r="315" spans="1:5">
      <c r="A315" s="222"/>
      <c r="B315" s="222"/>
      <c r="C315" s="222"/>
      <c r="D315" s="222"/>
      <c r="E315" s="222"/>
    </row>
    <row r="316" spans="1:5">
      <c r="A316" s="222"/>
      <c r="B316" s="222"/>
      <c r="C316" s="222"/>
      <c r="D316" s="222"/>
      <c r="E316" s="222"/>
    </row>
    <row r="317" spans="1:5">
      <c r="A317" s="222"/>
      <c r="B317" s="222"/>
      <c r="C317" s="222"/>
      <c r="D317" s="222"/>
      <c r="E317" s="222"/>
    </row>
    <row r="318" spans="1:5">
      <c r="A318" s="222"/>
      <c r="B318" s="222"/>
      <c r="C318" s="222"/>
      <c r="D318" s="222"/>
      <c r="E318" s="222"/>
    </row>
    <row r="319" spans="1:5">
      <c r="A319" s="222"/>
      <c r="B319" s="222"/>
      <c r="C319" s="222"/>
      <c r="D319" s="222"/>
      <c r="E319" s="222"/>
    </row>
    <row r="320" spans="1:5">
      <c r="A320" s="222"/>
      <c r="B320" s="222"/>
      <c r="C320" s="222"/>
      <c r="D320" s="222"/>
      <c r="E320" s="222"/>
    </row>
    <row r="321" spans="1:5">
      <c r="A321" s="222"/>
      <c r="B321" s="222"/>
      <c r="C321" s="222"/>
      <c r="D321" s="222"/>
      <c r="E321" s="222"/>
    </row>
    <row r="322" spans="1:5">
      <c r="A322" s="222"/>
      <c r="B322" s="222"/>
      <c r="C322" s="222"/>
      <c r="D322" s="222"/>
      <c r="E322" s="222"/>
    </row>
    <row r="323" spans="1:5">
      <c r="A323" s="222"/>
      <c r="B323" s="222"/>
      <c r="C323" s="222"/>
      <c r="D323" s="222"/>
      <c r="E323" s="222"/>
    </row>
    <row r="324" spans="1:5">
      <c r="A324" s="222"/>
      <c r="B324" s="222"/>
      <c r="C324" s="222"/>
      <c r="D324" s="222"/>
      <c r="E324" s="222"/>
    </row>
    <row r="325" spans="1:5">
      <c r="A325" s="222"/>
      <c r="B325" s="222"/>
      <c r="C325" s="222"/>
      <c r="D325" s="222"/>
      <c r="E325" s="222"/>
    </row>
    <row r="326" spans="1:5">
      <c r="A326" s="222"/>
      <c r="B326" s="222"/>
      <c r="C326" s="222"/>
      <c r="D326" s="222"/>
      <c r="E326" s="222"/>
    </row>
    <row r="327" spans="1:5">
      <c r="A327" s="222"/>
      <c r="B327" s="222"/>
      <c r="C327" s="222"/>
      <c r="D327" s="222"/>
      <c r="E327" s="222"/>
    </row>
    <row r="328" spans="1:5">
      <c r="A328" s="222"/>
      <c r="B328" s="222"/>
      <c r="C328" s="222"/>
      <c r="D328" s="222"/>
      <c r="E328" s="222"/>
    </row>
    <row r="329" spans="1:5">
      <c r="A329" s="222"/>
      <c r="B329" s="222"/>
      <c r="C329" s="222"/>
      <c r="D329" s="222"/>
      <c r="E329" s="222"/>
    </row>
    <row r="330" spans="1:5">
      <c r="A330" s="222"/>
      <c r="B330" s="222"/>
      <c r="C330" s="222"/>
      <c r="D330" s="222"/>
      <c r="E330" s="222"/>
    </row>
    <row r="331" spans="1:5">
      <c r="A331" s="222"/>
      <c r="B331" s="222"/>
      <c r="C331" s="222"/>
      <c r="D331" s="222"/>
      <c r="E331" s="222"/>
    </row>
    <row r="332" spans="1:5">
      <c r="A332" s="222"/>
      <c r="B332" s="222"/>
      <c r="C332" s="222"/>
      <c r="D332" s="222"/>
      <c r="E332" s="222"/>
    </row>
    <row r="333" spans="1:5">
      <c r="A333" s="222"/>
      <c r="B333" s="222"/>
      <c r="C333" s="222"/>
      <c r="D333" s="222"/>
      <c r="E333" s="222"/>
    </row>
    <row r="334" spans="1:5">
      <c r="A334" s="222"/>
      <c r="B334" s="222"/>
      <c r="C334" s="222"/>
      <c r="D334" s="222"/>
      <c r="E334" s="222"/>
    </row>
    <row r="335" spans="1:5">
      <c r="A335" s="222"/>
      <c r="B335" s="222"/>
      <c r="C335" s="222"/>
      <c r="D335" s="222"/>
      <c r="E335" s="222"/>
    </row>
    <row r="336" spans="1:5">
      <c r="A336" s="222"/>
      <c r="B336" s="222"/>
      <c r="C336" s="222"/>
      <c r="D336" s="222"/>
      <c r="E336" s="222"/>
    </row>
    <row r="337" spans="1:5">
      <c r="A337" s="222"/>
      <c r="B337" s="222"/>
      <c r="C337" s="222"/>
      <c r="D337" s="222"/>
      <c r="E337" s="222"/>
    </row>
    <row r="338" spans="1:5">
      <c r="A338" s="222"/>
      <c r="B338" s="222"/>
      <c r="C338" s="222"/>
      <c r="D338" s="222"/>
      <c r="E338" s="222"/>
    </row>
    <row r="339" spans="1:5">
      <c r="A339" s="222"/>
      <c r="B339" s="222"/>
      <c r="C339" s="222"/>
      <c r="D339" s="222"/>
      <c r="E339" s="222"/>
    </row>
    <row r="340" spans="1:5">
      <c r="A340" s="222"/>
      <c r="B340" s="222"/>
      <c r="C340" s="222"/>
      <c r="D340" s="222"/>
      <c r="E340" s="222"/>
    </row>
    <row r="341" spans="1:5">
      <c r="A341" s="222"/>
      <c r="B341" s="222"/>
      <c r="C341" s="222"/>
      <c r="D341" s="222"/>
      <c r="E341" s="222"/>
    </row>
    <row r="342" spans="1:5">
      <c r="A342" s="222"/>
      <c r="B342" s="222"/>
      <c r="C342" s="222"/>
      <c r="D342" s="222"/>
      <c r="E342" s="222"/>
    </row>
    <row r="343" spans="1:5">
      <c r="A343" s="222"/>
      <c r="B343" s="222"/>
      <c r="C343" s="222"/>
      <c r="D343" s="222"/>
      <c r="E343" s="222"/>
    </row>
    <row r="344" spans="1:5">
      <c r="A344" s="222"/>
      <c r="B344" s="222"/>
      <c r="C344" s="222"/>
      <c r="D344" s="222"/>
      <c r="E344" s="222"/>
    </row>
    <row r="345" spans="1:5">
      <c r="A345" s="222"/>
      <c r="B345" s="222"/>
      <c r="C345" s="222"/>
      <c r="D345" s="222"/>
      <c r="E345" s="222"/>
    </row>
    <row r="346" spans="1:5">
      <c r="A346" s="222"/>
      <c r="B346" s="222"/>
      <c r="C346" s="222"/>
      <c r="D346" s="222"/>
      <c r="E346" s="222"/>
    </row>
    <row r="347" spans="1:5">
      <c r="A347" s="222"/>
      <c r="B347" s="222"/>
      <c r="C347" s="222"/>
      <c r="D347" s="222"/>
      <c r="E347" s="222"/>
    </row>
    <row r="348" spans="1:5">
      <c r="A348" s="222"/>
      <c r="B348" s="222"/>
      <c r="C348" s="222"/>
      <c r="D348" s="222"/>
      <c r="E348" s="222"/>
    </row>
    <row r="349" spans="1:5">
      <c r="A349" s="222"/>
      <c r="B349" s="222"/>
      <c r="C349" s="222"/>
      <c r="D349" s="222"/>
      <c r="E349" s="222"/>
    </row>
    <row r="350" spans="1:5">
      <c r="A350" s="222"/>
      <c r="B350" s="222"/>
      <c r="C350" s="222"/>
      <c r="D350" s="222"/>
      <c r="E350" s="222"/>
    </row>
    <row r="351" spans="1:5">
      <c r="A351" s="222"/>
      <c r="B351" s="222"/>
      <c r="C351" s="222"/>
      <c r="D351" s="222"/>
      <c r="E351" s="222"/>
    </row>
    <row r="352" spans="1:5">
      <c r="A352" s="222"/>
      <c r="B352" s="222"/>
      <c r="C352" s="222"/>
      <c r="D352" s="222"/>
      <c r="E352" s="222"/>
    </row>
    <row r="353" spans="1:5">
      <c r="A353" s="222"/>
      <c r="B353" s="222"/>
      <c r="C353" s="222"/>
      <c r="D353" s="222"/>
      <c r="E353" s="222"/>
    </row>
    <row r="354" spans="1:5">
      <c r="A354" s="222"/>
      <c r="B354" s="222"/>
      <c r="C354" s="222"/>
      <c r="D354" s="222"/>
      <c r="E354" s="222"/>
    </row>
    <row r="355" spans="1:5">
      <c r="A355" s="222"/>
      <c r="B355" s="222"/>
      <c r="C355" s="222"/>
      <c r="D355" s="222"/>
      <c r="E355" s="222"/>
    </row>
    <row r="356" spans="1:5">
      <c r="A356" s="222"/>
      <c r="B356" s="222"/>
      <c r="C356" s="222"/>
      <c r="D356" s="222"/>
      <c r="E356" s="222"/>
    </row>
    <row r="357" spans="1:5">
      <c r="A357" s="222"/>
      <c r="B357" s="222"/>
      <c r="C357" s="222"/>
      <c r="D357" s="222"/>
      <c r="E357" s="222"/>
    </row>
    <row r="358" spans="1:5">
      <c r="A358" s="222"/>
      <c r="B358" s="222"/>
      <c r="C358" s="222"/>
      <c r="D358" s="222"/>
      <c r="E358" s="222"/>
    </row>
    <row r="359" spans="1:5">
      <c r="A359" s="222"/>
      <c r="B359" s="222"/>
      <c r="C359" s="222"/>
      <c r="D359" s="222"/>
      <c r="E359" s="222"/>
    </row>
    <row r="360" spans="1:5">
      <c r="A360" s="222"/>
      <c r="B360" s="222"/>
      <c r="C360" s="222"/>
      <c r="D360" s="222"/>
      <c r="E360" s="222"/>
    </row>
    <row r="361" spans="1:5">
      <c r="A361" s="222"/>
      <c r="B361" s="222"/>
      <c r="C361" s="222"/>
      <c r="D361" s="222"/>
      <c r="E361" s="222"/>
    </row>
    <row r="362" spans="1:5">
      <c r="A362" s="222"/>
      <c r="B362" s="222"/>
      <c r="C362" s="222"/>
      <c r="D362" s="222"/>
      <c r="E362" s="222"/>
    </row>
    <row r="363" spans="1:5">
      <c r="A363" s="222"/>
      <c r="B363" s="222"/>
      <c r="C363" s="222"/>
      <c r="D363" s="222"/>
      <c r="E363" s="222"/>
    </row>
    <row r="364" spans="1:5">
      <c r="A364" s="222"/>
      <c r="B364" s="222"/>
      <c r="C364" s="222"/>
      <c r="D364" s="222"/>
      <c r="E364" s="222"/>
    </row>
    <row r="365" spans="1:5">
      <c r="A365" s="222"/>
      <c r="B365" s="222"/>
      <c r="C365" s="222"/>
      <c r="D365" s="222"/>
      <c r="E365" s="222"/>
    </row>
    <row r="366" spans="1:5">
      <c r="A366" s="222"/>
      <c r="B366" s="222"/>
      <c r="C366" s="222"/>
      <c r="D366" s="222"/>
      <c r="E366" s="222"/>
    </row>
    <row r="367" spans="1:5">
      <c r="A367" s="222"/>
      <c r="B367" s="222"/>
      <c r="C367" s="222"/>
      <c r="D367" s="222"/>
      <c r="E367" s="222"/>
    </row>
    <row r="368" spans="1:5">
      <c r="A368" s="222"/>
      <c r="B368" s="222"/>
      <c r="C368" s="222"/>
      <c r="D368" s="222"/>
      <c r="E368" s="222"/>
    </row>
    <row r="369" spans="1:5">
      <c r="A369" s="222"/>
      <c r="B369" s="222"/>
      <c r="C369" s="222"/>
      <c r="D369" s="222"/>
      <c r="E369" s="222"/>
    </row>
    <row r="370" spans="1:5">
      <c r="A370" s="222"/>
      <c r="B370" s="222"/>
      <c r="C370" s="222"/>
      <c r="D370" s="222"/>
      <c r="E370" s="222"/>
    </row>
    <row r="371" spans="1:5">
      <c r="A371" s="222"/>
      <c r="B371" s="222"/>
      <c r="C371" s="222"/>
      <c r="D371" s="222"/>
      <c r="E371" s="222"/>
    </row>
    <row r="372" spans="1:5">
      <c r="A372" s="222"/>
      <c r="B372" s="222"/>
      <c r="C372" s="222"/>
      <c r="D372" s="222"/>
      <c r="E372" s="222"/>
    </row>
    <row r="373" spans="1:5">
      <c r="A373" s="222"/>
      <c r="B373" s="222"/>
      <c r="C373" s="222"/>
      <c r="D373" s="222"/>
      <c r="E373" s="222"/>
    </row>
    <row r="374" spans="1:5">
      <c r="A374" s="222"/>
      <c r="B374" s="222"/>
      <c r="C374" s="222"/>
      <c r="D374" s="222"/>
      <c r="E374" s="222"/>
    </row>
    <row r="375" spans="1:5">
      <c r="A375" s="222"/>
      <c r="B375" s="222"/>
      <c r="C375" s="222"/>
      <c r="D375" s="222"/>
      <c r="E375" s="222"/>
    </row>
    <row r="376" spans="1:5">
      <c r="A376" s="222"/>
      <c r="B376" s="222"/>
      <c r="C376" s="222"/>
      <c r="D376" s="222"/>
      <c r="E376" s="222"/>
    </row>
    <row r="377" spans="1:5">
      <c r="A377" s="222"/>
      <c r="B377" s="222"/>
      <c r="C377" s="222"/>
      <c r="D377" s="222"/>
      <c r="E377" s="222"/>
    </row>
    <row r="378" spans="1:5">
      <c r="A378" s="222"/>
      <c r="B378" s="222"/>
      <c r="C378" s="222"/>
      <c r="D378" s="222"/>
      <c r="E378" s="222"/>
    </row>
    <row r="379" spans="1:5">
      <c r="A379" s="222"/>
      <c r="B379" s="222"/>
      <c r="C379" s="222"/>
      <c r="D379" s="222"/>
      <c r="E379" s="222"/>
    </row>
    <row r="380" spans="1:5">
      <c r="A380" s="222"/>
      <c r="B380" s="222"/>
      <c r="C380" s="222"/>
      <c r="D380" s="222"/>
      <c r="E380" s="222"/>
    </row>
    <row r="381" spans="1:5">
      <c r="A381" s="222"/>
      <c r="B381" s="222"/>
      <c r="C381" s="222"/>
      <c r="D381" s="222"/>
      <c r="E381" s="222"/>
    </row>
    <row r="382" spans="1:5">
      <c r="A382" s="222"/>
      <c r="B382" s="222"/>
      <c r="C382" s="222"/>
      <c r="D382" s="222"/>
      <c r="E382" s="222"/>
    </row>
    <row r="383" spans="1:5">
      <c r="A383" s="222"/>
      <c r="B383" s="222"/>
      <c r="C383" s="222"/>
      <c r="D383" s="222"/>
      <c r="E383" s="222"/>
    </row>
    <row r="384" spans="1:5">
      <c r="A384" s="222"/>
      <c r="B384" s="222"/>
      <c r="C384" s="222"/>
      <c r="D384" s="222"/>
      <c r="E384" s="222"/>
    </row>
    <row r="385" spans="1:5">
      <c r="A385" s="222"/>
      <c r="B385" s="222"/>
      <c r="C385" s="222"/>
      <c r="D385" s="222"/>
      <c r="E385" s="222"/>
    </row>
    <row r="386" spans="1:5">
      <c r="A386" s="222"/>
      <c r="B386" s="222"/>
      <c r="C386" s="222"/>
      <c r="D386" s="222"/>
      <c r="E386" s="222"/>
    </row>
    <row r="387" spans="1:5">
      <c r="A387" s="222"/>
      <c r="B387" s="222"/>
      <c r="C387" s="222"/>
      <c r="D387" s="222"/>
      <c r="E387" s="222"/>
    </row>
    <row r="388" spans="1:5">
      <c r="A388" s="222"/>
      <c r="B388" s="222"/>
      <c r="C388" s="222"/>
      <c r="D388" s="222"/>
      <c r="E388" s="222"/>
    </row>
    <row r="389" spans="1:5">
      <c r="A389" s="222"/>
      <c r="B389" s="222"/>
      <c r="C389" s="222"/>
      <c r="D389" s="222"/>
      <c r="E389" s="222"/>
    </row>
    <row r="390" spans="1:5">
      <c r="A390" s="222"/>
      <c r="B390" s="222"/>
      <c r="C390" s="222"/>
      <c r="D390" s="222"/>
      <c r="E390" s="222"/>
    </row>
    <row r="391" spans="1:5">
      <c r="A391" s="222"/>
      <c r="B391" s="222"/>
      <c r="C391" s="222"/>
      <c r="D391" s="222"/>
      <c r="E391" s="222"/>
    </row>
    <row r="392" spans="1:5">
      <c r="A392" s="222"/>
      <c r="B392" s="222"/>
      <c r="C392" s="222"/>
      <c r="D392" s="222"/>
      <c r="E392" s="222"/>
    </row>
    <row r="393" spans="1:5">
      <c r="A393" s="222"/>
      <c r="B393" s="222"/>
      <c r="C393" s="222"/>
      <c r="D393" s="222"/>
      <c r="E393" s="222"/>
    </row>
    <row r="394" spans="1:5">
      <c r="A394" s="222"/>
      <c r="B394" s="222"/>
      <c r="C394" s="222"/>
      <c r="D394" s="222"/>
      <c r="E394" s="222"/>
    </row>
    <row r="395" spans="1:5">
      <c r="A395" s="222"/>
      <c r="B395" s="222"/>
      <c r="C395" s="222"/>
      <c r="D395" s="222"/>
      <c r="E395" s="222"/>
    </row>
    <row r="396" spans="1:5">
      <c r="A396" s="222"/>
      <c r="B396" s="222"/>
      <c r="C396" s="222"/>
      <c r="D396" s="222"/>
      <c r="E396" s="222"/>
    </row>
    <row r="397" spans="1:5">
      <c r="A397" s="222"/>
      <c r="B397" s="222"/>
      <c r="C397" s="222"/>
      <c r="D397" s="222"/>
      <c r="E397" s="222"/>
    </row>
    <row r="398" spans="1:5">
      <c r="A398" s="222"/>
      <c r="B398" s="222"/>
      <c r="C398" s="222"/>
      <c r="D398" s="222"/>
      <c r="E398" s="222"/>
    </row>
    <row r="399" spans="1:5">
      <c r="A399" s="222"/>
      <c r="B399" s="222"/>
      <c r="C399" s="222"/>
      <c r="D399" s="222"/>
      <c r="E399" s="222"/>
    </row>
    <row r="400" spans="1:5">
      <c r="A400" s="222"/>
      <c r="B400" s="222"/>
      <c r="C400" s="222"/>
      <c r="D400" s="222"/>
      <c r="E400" s="222"/>
    </row>
  </sheetData>
  <sheetProtection selectLockedCells="1"/>
  <sortState xmlns:xlrd2="http://schemas.microsoft.com/office/spreadsheetml/2017/richdata2" ref="A10:A33">
    <sortCondition ref="A10:A33"/>
  </sortState>
  <mergeCells count="395">
    <mergeCell ref="A395:E395"/>
    <mergeCell ref="A396:E396"/>
    <mergeCell ref="A397:E397"/>
    <mergeCell ref="A398:E398"/>
    <mergeCell ref="A399:E399"/>
    <mergeCell ref="A400:E400"/>
    <mergeCell ref="A389:E389"/>
    <mergeCell ref="A390:E390"/>
    <mergeCell ref="A391:E391"/>
    <mergeCell ref="A392:E392"/>
    <mergeCell ref="A393:E393"/>
    <mergeCell ref="A394:E394"/>
    <mergeCell ref="A383:E383"/>
    <mergeCell ref="A384:E384"/>
    <mergeCell ref="A385:E385"/>
    <mergeCell ref="A386:E386"/>
    <mergeCell ref="A387:E387"/>
    <mergeCell ref="A388:E388"/>
    <mergeCell ref="A377:E377"/>
    <mergeCell ref="A378:E378"/>
    <mergeCell ref="A379:E379"/>
    <mergeCell ref="A380:E380"/>
    <mergeCell ref="A381:E381"/>
    <mergeCell ref="A382:E382"/>
    <mergeCell ref="A371:E371"/>
    <mergeCell ref="A372:E372"/>
    <mergeCell ref="A373:E373"/>
    <mergeCell ref="A374:E374"/>
    <mergeCell ref="A375:E375"/>
    <mergeCell ref="A376:E376"/>
    <mergeCell ref="A365:E365"/>
    <mergeCell ref="A366:E366"/>
    <mergeCell ref="A367:E367"/>
    <mergeCell ref="A368:E368"/>
    <mergeCell ref="A369:E369"/>
    <mergeCell ref="A370:E370"/>
    <mergeCell ref="A359:E359"/>
    <mergeCell ref="A360:E360"/>
    <mergeCell ref="A361:E361"/>
    <mergeCell ref="A362:E362"/>
    <mergeCell ref="A363:E363"/>
    <mergeCell ref="A364:E364"/>
    <mergeCell ref="A353:E353"/>
    <mergeCell ref="A354:E354"/>
    <mergeCell ref="A355:E355"/>
    <mergeCell ref="A356:E356"/>
    <mergeCell ref="A357:E357"/>
    <mergeCell ref="A358:E358"/>
    <mergeCell ref="A347:E347"/>
    <mergeCell ref="A348:E348"/>
    <mergeCell ref="A349:E349"/>
    <mergeCell ref="A350:E350"/>
    <mergeCell ref="A351:E351"/>
    <mergeCell ref="A352:E352"/>
    <mergeCell ref="A341:E341"/>
    <mergeCell ref="A342:E342"/>
    <mergeCell ref="A343:E343"/>
    <mergeCell ref="A344:E344"/>
    <mergeCell ref="A345:E345"/>
    <mergeCell ref="A346:E346"/>
    <mergeCell ref="A335:E335"/>
    <mergeCell ref="A336:E336"/>
    <mergeCell ref="A337:E337"/>
    <mergeCell ref="A338:E338"/>
    <mergeCell ref="A339:E339"/>
    <mergeCell ref="A340:E340"/>
    <mergeCell ref="A329:E329"/>
    <mergeCell ref="A330:E330"/>
    <mergeCell ref="A331:E331"/>
    <mergeCell ref="A332:E332"/>
    <mergeCell ref="A333:E333"/>
    <mergeCell ref="A334:E334"/>
    <mergeCell ref="A323:E323"/>
    <mergeCell ref="A324:E324"/>
    <mergeCell ref="A325:E325"/>
    <mergeCell ref="A326:E326"/>
    <mergeCell ref="A327:E327"/>
    <mergeCell ref="A328:E328"/>
    <mergeCell ref="A317:E317"/>
    <mergeCell ref="A318:E318"/>
    <mergeCell ref="A319:E319"/>
    <mergeCell ref="A320:E320"/>
    <mergeCell ref="A321:E321"/>
    <mergeCell ref="A322:E322"/>
    <mergeCell ref="A311:E311"/>
    <mergeCell ref="A312:E312"/>
    <mergeCell ref="A313:E313"/>
    <mergeCell ref="A314:E314"/>
    <mergeCell ref="A315:E315"/>
    <mergeCell ref="A316:E316"/>
    <mergeCell ref="A305:E305"/>
    <mergeCell ref="A306:E306"/>
    <mergeCell ref="A307:E307"/>
    <mergeCell ref="A308:E308"/>
    <mergeCell ref="A309:E309"/>
    <mergeCell ref="A310:E310"/>
    <mergeCell ref="A299:E299"/>
    <mergeCell ref="A300:E300"/>
    <mergeCell ref="A301:E301"/>
    <mergeCell ref="A302:E302"/>
    <mergeCell ref="A303:E303"/>
    <mergeCell ref="A304:E304"/>
    <mergeCell ref="A293:E293"/>
    <mergeCell ref="A294:E294"/>
    <mergeCell ref="A295:E295"/>
    <mergeCell ref="A296:E296"/>
    <mergeCell ref="A297:E297"/>
    <mergeCell ref="A298:E298"/>
    <mergeCell ref="A287:E287"/>
    <mergeCell ref="A288:E288"/>
    <mergeCell ref="A289:E289"/>
    <mergeCell ref="A290:E290"/>
    <mergeCell ref="A291:E291"/>
    <mergeCell ref="A292:E292"/>
    <mergeCell ref="A281:E281"/>
    <mergeCell ref="A282:E282"/>
    <mergeCell ref="A283:E283"/>
    <mergeCell ref="A284:E284"/>
    <mergeCell ref="A285:E285"/>
    <mergeCell ref="A286:E286"/>
    <mergeCell ref="A275:E275"/>
    <mergeCell ref="A276:E276"/>
    <mergeCell ref="A277:E277"/>
    <mergeCell ref="A278:E278"/>
    <mergeCell ref="A279:E279"/>
    <mergeCell ref="A280:E280"/>
    <mergeCell ref="A269:E269"/>
    <mergeCell ref="A270:E270"/>
    <mergeCell ref="A271:E271"/>
    <mergeCell ref="A272:E272"/>
    <mergeCell ref="A273:E273"/>
    <mergeCell ref="A274:E274"/>
    <mergeCell ref="A263:E263"/>
    <mergeCell ref="A264:E264"/>
    <mergeCell ref="A265:E265"/>
    <mergeCell ref="A266:E266"/>
    <mergeCell ref="A267:E267"/>
    <mergeCell ref="A268:E268"/>
    <mergeCell ref="A257:E257"/>
    <mergeCell ref="A258:E258"/>
    <mergeCell ref="A259:E259"/>
    <mergeCell ref="A260:E260"/>
    <mergeCell ref="A261:E261"/>
    <mergeCell ref="A262:E262"/>
    <mergeCell ref="A251:E251"/>
    <mergeCell ref="A252:E252"/>
    <mergeCell ref="A253:E253"/>
    <mergeCell ref="A254:E254"/>
    <mergeCell ref="A255:E255"/>
    <mergeCell ref="A256:E256"/>
    <mergeCell ref="A245:E245"/>
    <mergeCell ref="A246:E246"/>
    <mergeCell ref="A247:E247"/>
    <mergeCell ref="A248:E248"/>
    <mergeCell ref="A249:E249"/>
    <mergeCell ref="A250:E250"/>
    <mergeCell ref="A239:E239"/>
    <mergeCell ref="A240:E240"/>
    <mergeCell ref="A241:E241"/>
    <mergeCell ref="A242:E242"/>
    <mergeCell ref="A243:E243"/>
    <mergeCell ref="A244:E244"/>
    <mergeCell ref="A233:E233"/>
    <mergeCell ref="A234:E234"/>
    <mergeCell ref="A235:E235"/>
    <mergeCell ref="A236:E236"/>
    <mergeCell ref="A237:E237"/>
    <mergeCell ref="A238:E238"/>
    <mergeCell ref="A227:E227"/>
    <mergeCell ref="A228:E228"/>
    <mergeCell ref="A229:E229"/>
    <mergeCell ref="A230:E230"/>
    <mergeCell ref="A231:E231"/>
    <mergeCell ref="A232:E232"/>
    <mergeCell ref="A221:E221"/>
    <mergeCell ref="A222:E222"/>
    <mergeCell ref="A223:E223"/>
    <mergeCell ref="A224:E224"/>
    <mergeCell ref="A225:E225"/>
    <mergeCell ref="A226:E226"/>
    <mergeCell ref="A215:E215"/>
    <mergeCell ref="A216:E216"/>
    <mergeCell ref="A217:E217"/>
    <mergeCell ref="A218:E218"/>
    <mergeCell ref="A219:E219"/>
    <mergeCell ref="A220:E220"/>
    <mergeCell ref="A209:E209"/>
    <mergeCell ref="A210:E210"/>
    <mergeCell ref="A211:E211"/>
    <mergeCell ref="A212:E212"/>
    <mergeCell ref="A213:E213"/>
    <mergeCell ref="A214:E214"/>
    <mergeCell ref="A203:E203"/>
    <mergeCell ref="A204:E204"/>
    <mergeCell ref="A205:E205"/>
    <mergeCell ref="A206:E206"/>
    <mergeCell ref="A207:E207"/>
    <mergeCell ref="A208:E208"/>
    <mergeCell ref="A197:E197"/>
    <mergeCell ref="A198:E198"/>
    <mergeCell ref="A199:E199"/>
    <mergeCell ref="A200:E200"/>
    <mergeCell ref="A201:E201"/>
    <mergeCell ref="A202:E202"/>
    <mergeCell ref="A191:E191"/>
    <mergeCell ref="A192:E192"/>
    <mergeCell ref="A193:E193"/>
    <mergeCell ref="A194:E194"/>
    <mergeCell ref="A195:E195"/>
    <mergeCell ref="A196:E196"/>
    <mergeCell ref="A185:E185"/>
    <mergeCell ref="A186:E186"/>
    <mergeCell ref="A187:E187"/>
    <mergeCell ref="A188:E188"/>
    <mergeCell ref="A189:E189"/>
    <mergeCell ref="A190:E190"/>
    <mergeCell ref="A179:E179"/>
    <mergeCell ref="A180:E180"/>
    <mergeCell ref="A181:E181"/>
    <mergeCell ref="A182:E182"/>
    <mergeCell ref="A183:E183"/>
    <mergeCell ref="A184:E184"/>
    <mergeCell ref="A173:E173"/>
    <mergeCell ref="A174:E174"/>
    <mergeCell ref="A175:E175"/>
    <mergeCell ref="A176:E176"/>
    <mergeCell ref="A177:E177"/>
    <mergeCell ref="A178:E178"/>
    <mergeCell ref="A167:E167"/>
    <mergeCell ref="A168:E168"/>
    <mergeCell ref="A169:E169"/>
    <mergeCell ref="A170:E170"/>
    <mergeCell ref="A171:E171"/>
    <mergeCell ref="A172:E172"/>
    <mergeCell ref="A161:E161"/>
    <mergeCell ref="A162:E162"/>
    <mergeCell ref="A163:E163"/>
    <mergeCell ref="A164:E164"/>
    <mergeCell ref="A165:E165"/>
    <mergeCell ref="A166:E166"/>
    <mergeCell ref="A155:E155"/>
    <mergeCell ref="A156:E156"/>
    <mergeCell ref="A157:E157"/>
    <mergeCell ref="A158:E158"/>
    <mergeCell ref="A159:E159"/>
    <mergeCell ref="A160:E160"/>
    <mergeCell ref="A149:E149"/>
    <mergeCell ref="A150:E150"/>
    <mergeCell ref="A151:E151"/>
    <mergeCell ref="A152:E152"/>
    <mergeCell ref="A153:E153"/>
    <mergeCell ref="A154:E154"/>
    <mergeCell ref="A143:E143"/>
    <mergeCell ref="A144:E144"/>
    <mergeCell ref="A145:E145"/>
    <mergeCell ref="A146:E146"/>
    <mergeCell ref="A147:E147"/>
    <mergeCell ref="A148:E148"/>
    <mergeCell ref="A137:E137"/>
    <mergeCell ref="A138:E138"/>
    <mergeCell ref="A139:E139"/>
    <mergeCell ref="A140:E140"/>
    <mergeCell ref="A141:E141"/>
    <mergeCell ref="A142:E142"/>
    <mergeCell ref="A131:E131"/>
    <mergeCell ref="A132:E132"/>
    <mergeCell ref="A133:E133"/>
    <mergeCell ref="A134:E134"/>
    <mergeCell ref="A135:E135"/>
    <mergeCell ref="A136:E136"/>
    <mergeCell ref="A125:E125"/>
    <mergeCell ref="A126:E126"/>
    <mergeCell ref="A127:E127"/>
    <mergeCell ref="A128:E128"/>
    <mergeCell ref="A129:E129"/>
    <mergeCell ref="A130:E130"/>
    <mergeCell ref="A119:E119"/>
    <mergeCell ref="A120:E120"/>
    <mergeCell ref="A121:E121"/>
    <mergeCell ref="A122:E122"/>
    <mergeCell ref="A123:E123"/>
    <mergeCell ref="A124:E124"/>
    <mergeCell ref="A113:E113"/>
    <mergeCell ref="A114:E114"/>
    <mergeCell ref="A115:E115"/>
    <mergeCell ref="A116:E116"/>
    <mergeCell ref="A117:E117"/>
    <mergeCell ref="A118:E118"/>
    <mergeCell ref="A107:E107"/>
    <mergeCell ref="A108:E108"/>
    <mergeCell ref="A109:E109"/>
    <mergeCell ref="A110:E110"/>
    <mergeCell ref="A111:E111"/>
    <mergeCell ref="A112:E112"/>
    <mergeCell ref="A101:E101"/>
    <mergeCell ref="A102:E102"/>
    <mergeCell ref="A103:E103"/>
    <mergeCell ref="A104:E104"/>
    <mergeCell ref="A105:E105"/>
    <mergeCell ref="A106:E106"/>
    <mergeCell ref="A95:E95"/>
    <mergeCell ref="A96:E96"/>
    <mergeCell ref="A97:E97"/>
    <mergeCell ref="A98:E98"/>
    <mergeCell ref="A99:E99"/>
    <mergeCell ref="A100:E100"/>
    <mergeCell ref="A89:E89"/>
    <mergeCell ref="A90:E90"/>
    <mergeCell ref="A91:E91"/>
    <mergeCell ref="A92:E92"/>
    <mergeCell ref="A93:E93"/>
    <mergeCell ref="A94:E94"/>
    <mergeCell ref="A83:E83"/>
    <mergeCell ref="A84:E84"/>
    <mergeCell ref="A85:E85"/>
    <mergeCell ref="A86:E86"/>
    <mergeCell ref="A87:E87"/>
    <mergeCell ref="A88:E88"/>
    <mergeCell ref="A77:E77"/>
    <mergeCell ref="A78:E78"/>
    <mergeCell ref="A79:E79"/>
    <mergeCell ref="A80:E80"/>
    <mergeCell ref="A81:E81"/>
    <mergeCell ref="A82:E82"/>
    <mergeCell ref="A71:E71"/>
    <mergeCell ref="A72:E72"/>
    <mergeCell ref="A73:E73"/>
    <mergeCell ref="A74:E74"/>
    <mergeCell ref="A75:E75"/>
    <mergeCell ref="A76:E76"/>
    <mergeCell ref="A65:E65"/>
    <mergeCell ref="A66:E66"/>
    <mergeCell ref="A67:E67"/>
    <mergeCell ref="A68:E68"/>
    <mergeCell ref="A69:E69"/>
    <mergeCell ref="A70:E70"/>
    <mergeCell ref="A47:E47"/>
    <mergeCell ref="A48:E48"/>
    <mergeCell ref="AI40:AJ40"/>
    <mergeCell ref="AI39:AJ39"/>
    <mergeCell ref="AI38:AJ38"/>
    <mergeCell ref="AI41:AJ41"/>
    <mergeCell ref="AI42:AJ42"/>
    <mergeCell ref="AI43:AJ43"/>
    <mergeCell ref="A44:AH44"/>
    <mergeCell ref="A45:E45"/>
    <mergeCell ref="A46:E46"/>
    <mergeCell ref="A59:E59"/>
    <mergeCell ref="A60:E60"/>
    <mergeCell ref="A61:E61"/>
    <mergeCell ref="A62:E62"/>
    <mergeCell ref="A63:E63"/>
    <mergeCell ref="A64:E64"/>
    <mergeCell ref="A56:E56"/>
    <mergeCell ref="A57:E57"/>
    <mergeCell ref="A58:E58"/>
    <mergeCell ref="I7:K7"/>
    <mergeCell ref="L7:N7"/>
    <mergeCell ref="O7:Q7"/>
    <mergeCell ref="R7:T7"/>
    <mergeCell ref="U7:W7"/>
    <mergeCell ref="X7:Z7"/>
    <mergeCell ref="AA7:AC7"/>
    <mergeCell ref="A6:E6"/>
    <mergeCell ref="F6:H6"/>
    <mergeCell ref="I6:K6"/>
    <mergeCell ref="L6:N6"/>
    <mergeCell ref="O6:Q6"/>
    <mergeCell ref="R6:T6"/>
    <mergeCell ref="U6:W6"/>
    <mergeCell ref="X6:Z6"/>
    <mergeCell ref="AG9:AJ9"/>
    <mergeCell ref="AA6:AC6"/>
    <mergeCell ref="A3:AH3"/>
    <mergeCell ref="A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F4:K4"/>
    <mergeCell ref="L4:T4"/>
    <mergeCell ref="U4:Z4"/>
    <mergeCell ref="AA4:AF4"/>
    <mergeCell ref="AD7:AF7"/>
    <mergeCell ref="A8:E8"/>
    <mergeCell ref="AG8:AH8"/>
    <mergeCell ref="AI8:AJ8"/>
    <mergeCell ref="AD6:AF6"/>
    <mergeCell ref="A7:B7"/>
    <mergeCell ref="F7:H7"/>
  </mergeCells>
  <phoneticPr fontId="25" type="noConversion"/>
  <conditionalFormatting sqref="AG10:AG43">
    <cfRule type="cellIs" dxfId="5" priority="26" operator="between">
      <formula>0</formula>
      <formula>9</formula>
    </cfRule>
    <cfRule type="cellIs" dxfId="4" priority="27" operator="between">
      <formula>10</formula>
      <formula>20</formula>
    </cfRule>
  </conditionalFormatting>
  <conditionalFormatting sqref="G10:G43 J10:J43 M10:M43 P10:P43 S10:S43 V10:V43 Y10:Y43 AB10:AB43 AE10:AE43">
    <cfRule type="cellIs" dxfId="3" priority="24" operator="between">
      <formula>9.99</formula>
      <formula>20</formula>
    </cfRule>
    <cfRule type="cellIs" dxfId="2" priority="25" operator="between">
      <formula>0</formula>
      <formula>9.99</formula>
    </cfRule>
  </conditionalFormatting>
  <conditionalFormatting sqref="J45 G45 M45 P45 S45 V45 Y45 AB45 AE45 AG45">
    <cfRule type="cellIs" dxfId="1" priority="6" operator="between">
      <formula>10</formula>
      <formula>20</formula>
    </cfRule>
    <cfRule type="cellIs" dxfId="0" priority="7" operator="between">
      <formula>0</formula>
      <formula>9.99</formula>
    </cfRule>
  </conditionalFormatting>
  <dataValidations disablePrompts="1" count="1">
    <dataValidation type="list" allowBlank="1" showInputMessage="1" showErrorMessage="1" sqref="E9" xr:uid="{EE362CC8-B130-4FE3-B151-E3CDBD55C445}">
      <formula1>$C$51:$C$52</formula1>
    </dataValidation>
  </dataValidations>
  <pageMargins left="0.7" right="0.7" top="0.75" bottom="0.75" header="0.3" footer="0.3"/>
  <pageSetup paperSize="9" orientation="portrait" r:id="rId1"/>
  <ignoredErrors>
    <ignoredError sqref="D10:D19" numberStoredAsText="1"/>
  </ignoredErrors>
  <drawing r:id="rId2"/>
  <legacyDrawing r:id="rId3"/>
  <controls>
    <mc:AlternateContent xmlns:mc="http://schemas.openxmlformats.org/markup-compatibility/2006">
      <mc:Choice Requires="x14">
        <control shapeId="2056" r:id="rId4" name="CommandButton1">
          <controlPr defaultSize="0" autoLine="0" autoPict="0" r:id="rId5">
            <anchor moveWithCells="1">
              <from>
                <xdr:col>34</xdr:col>
                <xdr:colOff>0</xdr:colOff>
                <xdr:row>8</xdr:row>
                <xdr:rowOff>220980</xdr:rowOff>
              </from>
              <to>
                <xdr:col>36</xdr:col>
                <xdr:colOff>60960</xdr:colOff>
                <xdr:row>10</xdr:row>
                <xdr:rowOff>0</xdr:rowOff>
              </to>
            </anchor>
          </controlPr>
        </control>
      </mc:Choice>
      <mc:Fallback>
        <control shapeId="2056" r:id="rId4" name="CommandButton1"/>
      </mc:Fallback>
    </mc:AlternateContent>
    <mc:AlternateContent xmlns:mc="http://schemas.openxmlformats.org/markup-compatibility/2006">
      <mc:Choice Requires="x14">
        <control shapeId="2057" r:id="rId6" name="CommandButton2">
          <controlPr defaultSize="0" autoLine="0" autoPict="0" r:id="rId7">
            <anchor moveWithCells="1">
              <from>
                <xdr:col>34</xdr:col>
                <xdr:colOff>7620</xdr:colOff>
                <xdr:row>10</xdr:row>
                <xdr:rowOff>7620</xdr:rowOff>
              </from>
              <to>
                <xdr:col>36</xdr:col>
                <xdr:colOff>76200</xdr:colOff>
                <xdr:row>11</xdr:row>
                <xdr:rowOff>38100</xdr:rowOff>
              </to>
            </anchor>
          </controlPr>
        </control>
      </mc:Choice>
      <mc:Fallback>
        <control shapeId="2057" r:id="rId6" name="CommandButton2"/>
      </mc:Fallback>
    </mc:AlternateContent>
    <mc:AlternateContent xmlns:mc="http://schemas.openxmlformats.org/markup-compatibility/2006">
      <mc:Choice Requires="x14">
        <control shapeId="2058" r:id="rId8" name="CommandButton3">
          <controlPr defaultSize="0" autoLine="0" autoPict="0" r:id="rId9">
            <anchor moveWithCells="1">
              <from>
                <xdr:col>34</xdr:col>
                <xdr:colOff>7620</xdr:colOff>
                <xdr:row>10</xdr:row>
                <xdr:rowOff>312420</xdr:rowOff>
              </from>
              <to>
                <xdr:col>36</xdr:col>
                <xdr:colOff>76200</xdr:colOff>
                <xdr:row>12</xdr:row>
                <xdr:rowOff>7620</xdr:rowOff>
              </to>
            </anchor>
          </controlPr>
        </control>
      </mc:Choice>
      <mc:Fallback>
        <control shapeId="2058" r:id="rId8" name="CommandButton3"/>
      </mc:Fallback>
    </mc:AlternateContent>
    <mc:AlternateContent xmlns:mc="http://schemas.openxmlformats.org/markup-compatibility/2006">
      <mc:Choice Requires="x14">
        <control shapeId="2070" r:id="rId10" name="CommandButton4">
          <controlPr defaultSize="0" autoLine="0" r:id="rId11">
            <anchor moveWithCells="1">
              <from>
                <xdr:col>34</xdr:col>
                <xdr:colOff>7620</xdr:colOff>
                <xdr:row>12</xdr:row>
                <xdr:rowOff>0</xdr:rowOff>
              </from>
              <to>
                <xdr:col>35</xdr:col>
                <xdr:colOff>784860</xdr:colOff>
                <xdr:row>12</xdr:row>
                <xdr:rowOff>297180</xdr:rowOff>
              </to>
            </anchor>
          </controlPr>
        </control>
      </mc:Choice>
      <mc:Fallback>
        <control shapeId="2070" r:id="rId10" name="CommandButton4"/>
      </mc:Fallback>
    </mc:AlternateContent>
    <mc:AlternateContent xmlns:mc="http://schemas.openxmlformats.org/markup-compatibility/2006">
      <mc:Choice Requires="x14">
        <control shapeId="2072" r:id="rId12" name="CommandButton5">
          <controlPr defaultSize="0" autoLine="0" autoPict="0" r:id="rId13">
            <anchor moveWithCells="1">
              <from>
                <xdr:col>34</xdr:col>
                <xdr:colOff>7620</xdr:colOff>
                <xdr:row>12</xdr:row>
                <xdr:rowOff>297180</xdr:rowOff>
              </from>
              <to>
                <xdr:col>36</xdr:col>
                <xdr:colOff>99060</xdr:colOff>
                <xdr:row>13</xdr:row>
                <xdr:rowOff>297180</xdr:rowOff>
              </to>
            </anchor>
          </controlPr>
        </control>
      </mc:Choice>
      <mc:Fallback>
        <control shapeId="2072" r:id="rId12" name="CommandButton5"/>
      </mc:Fallback>
    </mc:AlternateContent>
    <mc:AlternateContent xmlns:mc="http://schemas.openxmlformats.org/markup-compatibility/2006">
      <mc:Choice Requires="x14">
        <control shapeId="2073" r:id="rId14" name="CommandButton6">
          <controlPr defaultSize="0" autoLine="0" autoPict="0" r:id="rId15">
            <anchor moveWithCells="1">
              <from>
                <xdr:col>34</xdr:col>
                <xdr:colOff>7620</xdr:colOff>
                <xdr:row>14</xdr:row>
                <xdr:rowOff>0</xdr:rowOff>
              </from>
              <to>
                <xdr:col>36</xdr:col>
                <xdr:colOff>83820</xdr:colOff>
                <xdr:row>14</xdr:row>
                <xdr:rowOff>274320</xdr:rowOff>
              </to>
            </anchor>
          </controlPr>
        </control>
      </mc:Choice>
      <mc:Fallback>
        <control shapeId="2073" r:id="rId14" name="CommandButton6"/>
      </mc:Fallback>
    </mc:AlternateContent>
    <mc:AlternateContent xmlns:mc="http://schemas.openxmlformats.org/markup-compatibility/2006">
      <mc:Choice Requires="x14">
        <control shapeId="2076" r:id="rId16" name="CommandButton7">
          <controlPr defaultSize="0" autoLine="0" autoPict="0" r:id="rId17">
            <anchor moveWithCells="1">
              <from>
                <xdr:col>34</xdr:col>
                <xdr:colOff>7620</xdr:colOff>
                <xdr:row>14</xdr:row>
                <xdr:rowOff>274320</xdr:rowOff>
              </from>
              <to>
                <xdr:col>36</xdr:col>
                <xdr:colOff>83820</xdr:colOff>
                <xdr:row>15</xdr:row>
                <xdr:rowOff>266700</xdr:rowOff>
              </to>
            </anchor>
          </controlPr>
        </control>
      </mc:Choice>
      <mc:Fallback>
        <control shapeId="2076" r:id="rId16" name="CommandButton7"/>
      </mc:Fallback>
    </mc:AlternateContent>
    <mc:AlternateContent xmlns:mc="http://schemas.openxmlformats.org/markup-compatibility/2006">
      <mc:Choice Requires="x14">
        <control shapeId="2077" r:id="rId18" name="CommandButton8">
          <controlPr defaultSize="0" autoLine="0" autoPict="0" r:id="rId19">
            <anchor moveWithCells="1">
              <from>
                <xdr:col>34</xdr:col>
                <xdr:colOff>7620</xdr:colOff>
                <xdr:row>15</xdr:row>
                <xdr:rowOff>274320</xdr:rowOff>
              </from>
              <to>
                <xdr:col>36</xdr:col>
                <xdr:colOff>83820</xdr:colOff>
                <xdr:row>16</xdr:row>
                <xdr:rowOff>236220</xdr:rowOff>
              </to>
            </anchor>
          </controlPr>
        </control>
      </mc:Choice>
      <mc:Fallback>
        <control shapeId="2077" r:id="rId18" name="CommandButton8"/>
      </mc:Fallback>
    </mc:AlternateContent>
    <mc:AlternateContent xmlns:mc="http://schemas.openxmlformats.org/markup-compatibility/2006">
      <mc:Choice Requires="x14">
        <control shapeId="2078" r:id="rId20" name="CommandButton9">
          <controlPr defaultSize="0" autoLine="0" autoPict="0" r:id="rId21">
            <anchor moveWithCells="1">
              <from>
                <xdr:col>34</xdr:col>
                <xdr:colOff>7620</xdr:colOff>
                <xdr:row>16</xdr:row>
                <xdr:rowOff>259080</xdr:rowOff>
              </from>
              <to>
                <xdr:col>36</xdr:col>
                <xdr:colOff>83820</xdr:colOff>
                <xdr:row>17</xdr:row>
                <xdr:rowOff>220980</xdr:rowOff>
              </to>
            </anchor>
          </controlPr>
        </control>
      </mc:Choice>
      <mc:Fallback>
        <control shapeId="2078" r:id="rId20" name="CommandButton9"/>
      </mc:Fallback>
    </mc:AlternateContent>
    <mc:AlternateContent xmlns:mc="http://schemas.openxmlformats.org/markup-compatibility/2006">
      <mc:Choice Requires="x14">
        <control shapeId="2079" r:id="rId22" name="CommandButton10">
          <controlPr defaultSize="0" autoLine="0" autoPict="0" r:id="rId23">
            <anchor moveWithCells="1">
              <from>
                <xdr:col>33</xdr:col>
                <xdr:colOff>723900</xdr:colOff>
                <xdr:row>17</xdr:row>
                <xdr:rowOff>228600</xdr:rowOff>
              </from>
              <to>
                <xdr:col>36</xdr:col>
                <xdr:colOff>106680</xdr:colOff>
                <xdr:row>18</xdr:row>
                <xdr:rowOff>297180</xdr:rowOff>
              </to>
            </anchor>
          </controlPr>
        </control>
      </mc:Choice>
      <mc:Fallback>
        <control shapeId="2079" r:id="rId22" name="CommandButton10"/>
      </mc:Fallback>
    </mc:AlternateContent>
    <mc:AlternateContent xmlns:mc="http://schemas.openxmlformats.org/markup-compatibility/2006">
      <mc:Choice Requires="x14">
        <control shapeId="2080" r:id="rId24" name="CommandButton11">
          <controlPr defaultSize="0" autoLine="0" autoPict="0" r:id="rId25">
            <anchor moveWithCells="1">
              <from>
                <xdr:col>34</xdr:col>
                <xdr:colOff>0</xdr:colOff>
                <xdr:row>18</xdr:row>
                <xdr:rowOff>289560</xdr:rowOff>
              </from>
              <to>
                <xdr:col>36</xdr:col>
                <xdr:colOff>121920</xdr:colOff>
                <xdr:row>20</xdr:row>
                <xdr:rowOff>30480</xdr:rowOff>
              </to>
            </anchor>
          </controlPr>
        </control>
      </mc:Choice>
      <mc:Fallback>
        <control shapeId="2080" r:id="rId24" name="CommandButton11"/>
      </mc:Fallback>
    </mc:AlternateContent>
    <mc:AlternateContent xmlns:mc="http://schemas.openxmlformats.org/markup-compatibility/2006">
      <mc:Choice Requires="x14">
        <control shapeId="2081" r:id="rId26" name="CommandButton12">
          <controlPr defaultSize="0" autoLine="0" autoPict="0" r:id="rId27">
            <anchor moveWithCells="1">
              <from>
                <xdr:col>34</xdr:col>
                <xdr:colOff>7620</xdr:colOff>
                <xdr:row>20</xdr:row>
                <xdr:rowOff>0</xdr:rowOff>
              </from>
              <to>
                <xdr:col>36</xdr:col>
                <xdr:colOff>106680</xdr:colOff>
                <xdr:row>21</xdr:row>
                <xdr:rowOff>7620</xdr:rowOff>
              </to>
            </anchor>
          </controlPr>
        </control>
      </mc:Choice>
      <mc:Fallback>
        <control shapeId="2081" r:id="rId26" name="CommandButton12"/>
      </mc:Fallback>
    </mc:AlternateContent>
    <mc:AlternateContent xmlns:mc="http://schemas.openxmlformats.org/markup-compatibility/2006">
      <mc:Choice Requires="x14">
        <control shapeId="2082" r:id="rId28" name="CommandButton13">
          <controlPr defaultSize="0" autoLine="0" r:id="rId29">
            <anchor moveWithCells="1">
              <from>
                <xdr:col>34</xdr:col>
                <xdr:colOff>7620</xdr:colOff>
                <xdr:row>21</xdr:row>
                <xdr:rowOff>22860</xdr:rowOff>
              </from>
              <to>
                <xdr:col>36</xdr:col>
                <xdr:colOff>45720</xdr:colOff>
                <xdr:row>21</xdr:row>
                <xdr:rowOff>274320</xdr:rowOff>
              </to>
            </anchor>
          </controlPr>
        </control>
      </mc:Choice>
      <mc:Fallback>
        <control shapeId="2082" r:id="rId28" name="CommandButton13"/>
      </mc:Fallback>
    </mc:AlternateContent>
    <mc:AlternateContent xmlns:mc="http://schemas.openxmlformats.org/markup-compatibility/2006">
      <mc:Choice Requires="x14">
        <control shapeId="2083" r:id="rId30" name="CommandButton14">
          <controlPr defaultSize="0" autoLine="0" r:id="rId31">
            <anchor moveWithCells="1">
              <from>
                <xdr:col>34</xdr:col>
                <xdr:colOff>7620</xdr:colOff>
                <xdr:row>21</xdr:row>
                <xdr:rowOff>274320</xdr:rowOff>
              </from>
              <to>
                <xdr:col>36</xdr:col>
                <xdr:colOff>45720</xdr:colOff>
                <xdr:row>23</xdr:row>
                <xdr:rowOff>259080</xdr:rowOff>
              </to>
            </anchor>
          </controlPr>
        </control>
      </mc:Choice>
      <mc:Fallback>
        <control shapeId="2083" r:id="rId30" name="CommandButton14"/>
      </mc:Fallback>
    </mc:AlternateContent>
    <mc:AlternateContent xmlns:mc="http://schemas.openxmlformats.org/markup-compatibility/2006">
      <mc:Choice Requires="x14">
        <control shapeId="2084" r:id="rId32" name="CommandButton15">
          <controlPr defaultSize="0" autoLine="0" autoPict="0" r:id="rId33">
            <anchor moveWithCells="1">
              <from>
                <xdr:col>34</xdr:col>
                <xdr:colOff>22860</xdr:colOff>
                <xdr:row>26</xdr:row>
                <xdr:rowOff>0</xdr:rowOff>
              </from>
              <to>
                <xdr:col>36</xdr:col>
                <xdr:colOff>76200</xdr:colOff>
                <xdr:row>27</xdr:row>
                <xdr:rowOff>30480</xdr:rowOff>
              </to>
            </anchor>
          </controlPr>
        </control>
      </mc:Choice>
      <mc:Fallback>
        <control shapeId="2084" r:id="rId32" name="CommandButton15"/>
      </mc:Fallback>
    </mc:AlternateContent>
    <mc:AlternateContent xmlns:mc="http://schemas.openxmlformats.org/markup-compatibility/2006">
      <mc:Choice Requires="x14">
        <control shapeId="2085" r:id="rId34" name="CommandButton16">
          <controlPr defaultSize="0" autoLine="0" autoPict="0" r:id="rId35">
            <anchor moveWithCells="1">
              <from>
                <xdr:col>34</xdr:col>
                <xdr:colOff>7620</xdr:colOff>
                <xdr:row>25</xdr:row>
                <xdr:rowOff>0</xdr:rowOff>
              </from>
              <to>
                <xdr:col>36</xdr:col>
                <xdr:colOff>76200</xdr:colOff>
                <xdr:row>26</xdr:row>
                <xdr:rowOff>0</xdr:rowOff>
              </to>
            </anchor>
          </controlPr>
        </control>
      </mc:Choice>
      <mc:Fallback>
        <control shapeId="2085" r:id="rId34" name="CommandButton16"/>
      </mc:Fallback>
    </mc:AlternateContent>
    <mc:AlternateContent xmlns:mc="http://schemas.openxmlformats.org/markup-compatibility/2006">
      <mc:Choice Requires="x14">
        <control shapeId="2086" r:id="rId36" name="CommandButton17">
          <controlPr defaultSize="0" autoLine="0" autoPict="0" r:id="rId37">
            <anchor moveWithCells="1">
              <from>
                <xdr:col>34</xdr:col>
                <xdr:colOff>7620</xdr:colOff>
                <xdr:row>27</xdr:row>
                <xdr:rowOff>7620</xdr:rowOff>
              </from>
              <to>
                <xdr:col>36</xdr:col>
                <xdr:colOff>83820</xdr:colOff>
                <xdr:row>28</xdr:row>
                <xdr:rowOff>38100</xdr:rowOff>
              </to>
            </anchor>
          </controlPr>
        </control>
      </mc:Choice>
      <mc:Fallback>
        <control shapeId="2086" r:id="rId36" name="CommandButton17"/>
      </mc:Fallback>
    </mc:AlternateContent>
    <mc:AlternateContent xmlns:mc="http://schemas.openxmlformats.org/markup-compatibility/2006">
      <mc:Choice Requires="x14">
        <control shapeId="2087" r:id="rId38" name="CommandButton18">
          <controlPr defaultSize="0" autoLine="0" autoPict="0" r:id="rId39">
            <anchor moveWithCells="1">
              <from>
                <xdr:col>33</xdr:col>
                <xdr:colOff>731520</xdr:colOff>
                <xdr:row>23</xdr:row>
                <xdr:rowOff>259080</xdr:rowOff>
              </from>
              <to>
                <xdr:col>36</xdr:col>
                <xdr:colOff>76200</xdr:colOff>
                <xdr:row>24</xdr:row>
                <xdr:rowOff>289560</xdr:rowOff>
              </to>
            </anchor>
          </controlPr>
        </control>
      </mc:Choice>
      <mc:Fallback>
        <control shapeId="2087" r:id="rId38" name="CommandButton18"/>
      </mc:Fallback>
    </mc:AlternateContent>
    <mc:AlternateContent xmlns:mc="http://schemas.openxmlformats.org/markup-compatibility/2006">
      <mc:Choice Requires="x14">
        <control shapeId="2088" r:id="rId40" name="CommandButton19">
          <controlPr defaultSize="0" autoLine="0" autoPict="0" r:id="rId41">
            <anchor moveWithCells="1">
              <from>
                <xdr:col>34</xdr:col>
                <xdr:colOff>7620</xdr:colOff>
                <xdr:row>22</xdr:row>
                <xdr:rowOff>259080</xdr:rowOff>
              </from>
              <to>
                <xdr:col>36</xdr:col>
                <xdr:colOff>106680</xdr:colOff>
                <xdr:row>24</xdr:row>
                <xdr:rowOff>7620</xdr:rowOff>
              </to>
            </anchor>
          </controlPr>
        </control>
      </mc:Choice>
      <mc:Fallback>
        <control shapeId="2088" r:id="rId40" name="CommandButton19"/>
      </mc:Fallback>
    </mc:AlternateContent>
    <mc:AlternateContent xmlns:mc="http://schemas.openxmlformats.org/markup-compatibility/2006">
      <mc:Choice Requires="x14">
        <control shapeId="2089" r:id="rId42" name="CommandButton20">
          <controlPr defaultSize="0" autoLine="0" autoPict="0" r:id="rId43">
            <anchor moveWithCells="1">
              <from>
                <xdr:col>34</xdr:col>
                <xdr:colOff>7620</xdr:colOff>
                <xdr:row>29</xdr:row>
                <xdr:rowOff>0</xdr:rowOff>
              </from>
              <to>
                <xdr:col>36</xdr:col>
                <xdr:colOff>60960</xdr:colOff>
                <xdr:row>30</xdr:row>
                <xdr:rowOff>0</xdr:rowOff>
              </to>
            </anchor>
          </controlPr>
        </control>
      </mc:Choice>
      <mc:Fallback>
        <control shapeId="2089" r:id="rId42" name="CommandButton20"/>
      </mc:Fallback>
    </mc:AlternateContent>
    <mc:AlternateContent xmlns:mc="http://schemas.openxmlformats.org/markup-compatibility/2006">
      <mc:Choice Requires="x14">
        <control shapeId="2090" r:id="rId44" name="CommandButton21">
          <controlPr defaultSize="0" autoLine="0" autoPict="0" r:id="rId45">
            <anchor moveWithCells="1">
              <from>
                <xdr:col>34</xdr:col>
                <xdr:colOff>7620</xdr:colOff>
                <xdr:row>28</xdr:row>
                <xdr:rowOff>0</xdr:rowOff>
              </from>
              <to>
                <xdr:col>36</xdr:col>
                <xdr:colOff>99060</xdr:colOff>
                <xdr:row>29</xdr:row>
                <xdr:rowOff>30480</xdr:rowOff>
              </to>
            </anchor>
          </controlPr>
        </control>
      </mc:Choice>
      <mc:Fallback>
        <control shapeId="2090" r:id="rId44" name="CommandButton21"/>
      </mc:Fallback>
    </mc:AlternateContent>
    <mc:AlternateContent xmlns:mc="http://schemas.openxmlformats.org/markup-compatibility/2006">
      <mc:Choice Requires="x14">
        <control shapeId="2091" r:id="rId46" name="CommandButton22">
          <controlPr defaultSize="0" autoLine="0" autoPict="0" r:id="rId47">
            <anchor moveWithCells="1">
              <from>
                <xdr:col>34</xdr:col>
                <xdr:colOff>30480</xdr:colOff>
                <xdr:row>30</xdr:row>
                <xdr:rowOff>7620</xdr:rowOff>
              </from>
              <to>
                <xdr:col>36</xdr:col>
                <xdr:colOff>83820</xdr:colOff>
                <xdr:row>31</xdr:row>
                <xdr:rowOff>7620</xdr:rowOff>
              </to>
            </anchor>
          </controlPr>
        </control>
      </mc:Choice>
      <mc:Fallback>
        <control shapeId="2091" r:id="rId46" name="CommandButton22"/>
      </mc:Fallback>
    </mc:AlternateContent>
    <mc:AlternateContent xmlns:mc="http://schemas.openxmlformats.org/markup-compatibility/2006">
      <mc:Choice Requires="x14">
        <control shapeId="2092" r:id="rId48" name="CommandButton23">
          <controlPr defaultSize="0" autoLine="0" autoPict="0" r:id="rId49">
            <anchor moveWithCells="1">
              <from>
                <xdr:col>34</xdr:col>
                <xdr:colOff>22860</xdr:colOff>
                <xdr:row>31</xdr:row>
                <xdr:rowOff>0</xdr:rowOff>
              </from>
              <to>
                <xdr:col>36</xdr:col>
                <xdr:colOff>76200</xdr:colOff>
                <xdr:row>31</xdr:row>
                <xdr:rowOff>297180</xdr:rowOff>
              </to>
            </anchor>
          </controlPr>
        </control>
      </mc:Choice>
      <mc:Fallback>
        <control shapeId="2092" r:id="rId48" name="CommandButton23"/>
      </mc:Fallback>
    </mc:AlternateContent>
    <mc:AlternateContent xmlns:mc="http://schemas.openxmlformats.org/markup-compatibility/2006">
      <mc:Choice Requires="x14">
        <control shapeId="2094" r:id="rId50" name="CommandButton25">
          <controlPr defaultSize="0" autoLine="0" autoPict="0" r:id="rId51">
            <anchor moveWithCells="1">
              <from>
                <xdr:col>34</xdr:col>
                <xdr:colOff>7620</xdr:colOff>
                <xdr:row>42</xdr:row>
                <xdr:rowOff>22860</xdr:rowOff>
              </from>
              <to>
                <xdr:col>36</xdr:col>
                <xdr:colOff>121920</xdr:colOff>
                <xdr:row>43</xdr:row>
                <xdr:rowOff>38100</xdr:rowOff>
              </to>
            </anchor>
          </controlPr>
        </control>
      </mc:Choice>
      <mc:Fallback>
        <control shapeId="2094" r:id="rId50" name="CommandButton25"/>
      </mc:Fallback>
    </mc:AlternateContent>
    <mc:AlternateContent xmlns:mc="http://schemas.openxmlformats.org/markup-compatibility/2006">
      <mc:Choice Requires="x14">
        <control shapeId="2095" r:id="rId52" name="CommandButton26">
          <controlPr defaultSize="0" autoLine="0" autoPict="0" r:id="rId53">
            <anchor moveWithCells="1">
              <from>
                <xdr:col>34</xdr:col>
                <xdr:colOff>0</xdr:colOff>
                <xdr:row>33</xdr:row>
                <xdr:rowOff>304800</xdr:rowOff>
              </from>
              <to>
                <xdr:col>36</xdr:col>
                <xdr:colOff>99060</xdr:colOff>
                <xdr:row>35</xdr:row>
                <xdr:rowOff>30480</xdr:rowOff>
              </to>
            </anchor>
          </controlPr>
        </control>
      </mc:Choice>
      <mc:Fallback>
        <control shapeId="2095" r:id="rId52" name="CommandButton26"/>
      </mc:Fallback>
    </mc:AlternateContent>
    <mc:AlternateContent xmlns:mc="http://schemas.openxmlformats.org/markup-compatibility/2006">
      <mc:Choice Requires="x14">
        <control shapeId="2096" r:id="rId54" name="CommandButton27">
          <controlPr defaultSize="0" autoLine="0" r:id="rId55">
            <anchor moveWithCells="1">
              <from>
                <xdr:col>34</xdr:col>
                <xdr:colOff>7620</xdr:colOff>
                <xdr:row>43</xdr:row>
                <xdr:rowOff>0</xdr:rowOff>
              </from>
              <to>
                <xdr:col>36</xdr:col>
                <xdr:colOff>45720</xdr:colOff>
                <xdr:row>44</xdr:row>
                <xdr:rowOff>121920</xdr:rowOff>
              </to>
            </anchor>
          </controlPr>
        </control>
      </mc:Choice>
      <mc:Fallback>
        <control shapeId="2096" r:id="rId54" name="CommandButton27"/>
      </mc:Fallback>
    </mc:AlternateContent>
    <mc:AlternateContent xmlns:mc="http://schemas.openxmlformats.org/markup-compatibility/2006">
      <mc:Choice Requires="x14">
        <control shapeId="2097" r:id="rId56" name="CommandButton28">
          <controlPr defaultSize="0" autoLine="0" autoPict="0" r:id="rId57">
            <anchor moveWithCells="1">
              <from>
                <xdr:col>34</xdr:col>
                <xdr:colOff>0</xdr:colOff>
                <xdr:row>32</xdr:row>
                <xdr:rowOff>0</xdr:rowOff>
              </from>
              <to>
                <xdr:col>36</xdr:col>
                <xdr:colOff>83820</xdr:colOff>
                <xdr:row>33</xdr:row>
                <xdr:rowOff>7620</xdr:rowOff>
              </to>
            </anchor>
          </controlPr>
        </control>
      </mc:Choice>
      <mc:Fallback>
        <control shapeId="2097" r:id="rId56" name="CommandButton28"/>
      </mc:Fallback>
    </mc:AlternateContent>
    <mc:AlternateContent xmlns:mc="http://schemas.openxmlformats.org/markup-compatibility/2006">
      <mc:Choice Requires="x14">
        <control shapeId="2099" r:id="rId58" name="CommandButton30">
          <controlPr defaultSize="0" autoLine="0" r:id="rId59">
            <anchor moveWithCells="1">
              <from>
                <xdr:col>34</xdr:col>
                <xdr:colOff>7620</xdr:colOff>
                <xdr:row>35</xdr:row>
                <xdr:rowOff>22860</xdr:rowOff>
              </from>
              <to>
                <xdr:col>36</xdr:col>
                <xdr:colOff>30480</xdr:colOff>
                <xdr:row>36</xdr:row>
                <xdr:rowOff>7620</xdr:rowOff>
              </to>
            </anchor>
          </controlPr>
        </control>
      </mc:Choice>
      <mc:Fallback>
        <control shapeId="2099" r:id="rId58" name="CommandButton30"/>
      </mc:Fallback>
    </mc:AlternateContent>
    <mc:AlternateContent xmlns:mc="http://schemas.openxmlformats.org/markup-compatibility/2006">
      <mc:Choice Requires="x14">
        <control shapeId="2101" r:id="rId60" name="CommandButton32">
          <controlPr defaultSize="0" autoLine="0" autoPict="0" r:id="rId61">
            <anchor moveWithCells="1">
              <from>
                <xdr:col>34</xdr:col>
                <xdr:colOff>0</xdr:colOff>
                <xdr:row>33</xdr:row>
                <xdr:rowOff>7620</xdr:rowOff>
              </from>
              <to>
                <xdr:col>36</xdr:col>
                <xdr:colOff>99060</xdr:colOff>
                <xdr:row>34</xdr:row>
                <xdr:rowOff>38100</xdr:rowOff>
              </to>
            </anchor>
          </controlPr>
        </control>
      </mc:Choice>
      <mc:Fallback>
        <control shapeId="2101" r:id="rId60" name="CommandButton32"/>
      </mc:Fallback>
    </mc:AlternateContent>
    <mc:AlternateContent xmlns:mc="http://schemas.openxmlformats.org/markup-compatibility/2006">
      <mc:Choice Requires="x14">
        <control shapeId="2103" r:id="rId62" name="CommandButton34">
          <controlPr defaultSize="0" autoLine="0" r:id="rId63">
            <anchor moveWithCells="1">
              <from>
                <xdr:col>34</xdr:col>
                <xdr:colOff>0</xdr:colOff>
                <xdr:row>39</xdr:row>
                <xdr:rowOff>304800</xdr:rowOff>
              </from>
              <to>
                <xdr:col>36</xdr:col>
                <xdr:colOff>22860</xdr:colOff>
                <xdr:row>41</xdr:row>
                <xdr:rowOff>15240</xdr:rowOff>
              </to>
            </anchor>
          </controlPr>
        </control>
      </mc:Choice>
      <mc:Fallback>
        <control shapeId="2103" r:id="rId62" name="CommandButton34"/>
      </mc:Fallback>
    </mc:AlternateContent>
    <mc:AlternateContent xmlns:mc="http://schemas.openxmlformats.org/markup-compatibility/2006">
      <mc:Choice Requires="x14">
        <control shapeId="2105" r:id="rId64" name="CommandButton36">
          <controlPr defaultSize="0" autoLine="0" autoPict="0" r:id="rId65">
            <anchor moveWithCells="1">
              <from>
                <xdr:col>34</xdr:col>
                <xdr:colOff>0</xdr:colOff>
                <xdr:row>41</xdr:row>
                <xdr:rowOff>22860</xdr:rowOff>
              </from>
              <to>
                <xdr:col>36</xdr:col>
                <xdr:colOff>121920</xdr:colOff>
                <xdr:row>42</xdr:row>
                <xdr:rowOff>30480</xdr:rowOff>
              </to>
            </anchor>
          </controlPr>
        </control>
      </mc:Choice>
      <mc:Fallback>
        <control shapeId="2105" r:id="rId64" name="CommandButton36"/>
      </mc:Fallback>
    </mc:AlternateContent>
    <mc:AlternateContent xmlns:mc="http://schemas.openxmlformats.org/markup-compatibility/2006">
      <mc:Choice Requires="x14">
        <control shapeId="2107" r:id="rId66" name="CommandButton38">
          <controlPr defaultSize="0" autoLine="0" autoPict="0" r:id="rId67">
            <anchor moveWithCells="1">
              <from>
                <xdr:col>34</xdr:col>
                <xdr:colOff>22860</xdr:colOff>
                <xdr:row>39</xdr:row>
                <xdr:rowOff>0</xdr:rowOff>
              </from>
              <to>
                <xdr:col>36</xdr:col>
                <xdr:colOff>83820</xdr:colOff>
                <xdr:row>40</xdr:row>
                <xdr:rowOff>7620</xdr:rowOff>
              </to>
            </anchor>
          </controlPr>
        </control>
      </mc:Choice>
      <mc:Fallback>
        <control shapeId="2107" r:id="rId66" name="CommandButton38"/>
      </mc:Fallback>
    </mc:AlternateContent>
    <mc:AlternateContent xmlns:mc="http://schemas.openxmlformats.org/markup-compatibility/2006">
      <mc:Choice Requires="x14">
        <control shapeId="2109" r:id="rId68" name="CommandButton40">
          <controlPr defaultSize="0" autoLine="0" autoPict="0" r:id="rId69">
            <anchor moveWithCells="1">
              <from>
                <xdr:col>33</xdr:col>
                <xdr:colOff>769620</xdr:colOff>
                <xdr:row>36</xdr:row>
                <xdr:rowOff>7620</xdr:rowOff>
              </from>
              <to>
                <xdr:col>36</xdr:col>
                <xdr:colOff>83820</xdr:colOff>
                <xdr:row>37</xdr:row>
                <xdr:rowOff>0</xdr:rowOff>
              </to>
            </anchor>
          </controlPr>
        </control>
      </mc:Choice>
      <mc:Fallback>
        <control shapeId="2109" r:id="rId68" name="CommandButton40"/>
      </mc:Fallback>
    </mc:AlternateContent>
    <mc:AlternateContent xmlns:mc="http://schemas.openxmlformats.org/markup-compatibility/2006">
      <mc:Choice Requires="x14">
        <control shapeId="2111" r:id="rId70" name="CommandButton42">
          <controlPr defaultSize="0" autoLine="0" autoPict="0" r:id="rId71">
            <anchor moveWithCells="1">
              <from>
                <xdr:col>33</xdr:col>
                <xdr:colOff>754380</xdr:colOff>
                <xdr:row>37</xdr:row>
                <xdr:rowOff>7620</xdr:rowOff>
              </from>
              <to>
                <xdr:col>36</xdr:col>
                <xdr:colOff>99060</xdr:colOff>
                <xdr:row>38</xdr:row>
                <xdr:rowOff>0</xdr:rowOff>
              </to>
            </anchor>
          </controlPr>
        </control>
      </mc:Choice>
      <mc:Fallback>
        <control shapeId="2111" r:id="rId70" name="CommandButton42"/>
      </mc:Fallback>
    </mc:AlternateContent>
    <mc:AlternateContent xmlns:mc="http://schemas.openxmlformats.org/markup-compatibility/2006">
      <mc:Choice Requires="x14">
        <control shapeId="2113" r:id="rId72" name="CommandButton44">
          <controlPr defaultSize="0" autoLine="0" autoPict="0" r:id="rId73">
            <anchor moveWithCells="1">
              <from>
                <xdr:col>34</xdr:col>
                <xdr:colOff>0</xdr:colOff>
                <xdr:row>38</xdr:row>
                <xdr:rowOff>30480</xdr:rowOff>
              </from>
              <to>
                <xdr:col>36</xdr:col>
                <xdr:colOff>83820</xdr:colOff>
                <xdr:row>39</xdr:row>
                <xdr:rowOff>38100</xdr:rowOff>
              </to>
            </anchor>
          </controlPr>
        </control>
      </mc:Choice>
      <mc:Fallback>
        <control shapeId="2113" r:id="rId72" name="CommandButton44"/>
      </mc:Fallback>
    </mc:AlternateContent>
    <mc:AlternateContent xmlns:mc="http://schemas.openxmlformats.org/markup-compatibility/2006">
      <mc:Choice Requires="x14">
        <control shapeId="2115" r:id="rId74" name="CommandButton46">
          <controlPr defaultSize="0" autoLine="0" autoPict="0" r:id="rId75">
            <anchor moveWithCells="1">
              <from>
                <xdr:col>33</xdr:col>
                <xdr:colOff>784860</xdr:colOff>
                <xdr:row>43</xdr:row>
                <xdr:rowOff>0</xdr:rowOff>
              </from>
              <to>
                <xdr:col>36</xdr:col>
                <xdr:colOff>99060</xdr:colOff>
                <xdr:row>44</xdr:row>
                <xdr:rowOff>137160</xdr:rowOff>
              </to>
            </anchor>
          </controlPr>
        </control>
      </mc:Choice>
      <mc:Fallback>
        <control shapeId="2115" r:id="rId74" name="CommandButton46"/>
      </mc:Fallback>
    </mc:AlternateContent>
    <mc:AlternateContent xmlns:mc="http://schemas.openxmlformats.org/markup-compatibility/2006">
      <mc:Choice Requires="x14">
        <control shapeId="2116" r:id="rId76" name="CommandButton47">
          <controlPr defaultSize="0" autoLine="0" r:id="rId77">
            <anchor moveWithCells="1">
              <from>
                <xdr:col>34</xdr:col>
                <xdr:colOff>7620</xdr:colOff>
                <xdr:row>43</xdr:row>
                <xdr:rowOff>0</xdr:rowOff>
              </from>
              <to>
                <xdr:col>36</xdr:col>
                <xdr:colOff>45720</xdr:colOff>
                <xdr:row>44</xdr:row>
                <xdr:rowOff>160020</xdr:rowOff>
              </to>
            </anchor>
          </controlPr>
        </control>
      </mc:Choice>
      <mc:Fallback>
        <control shapeId="2116" r:id="rId76" name="CommandButton47"/>
      </mc:Fallback>
    </mc:AlternateContent>
    <mc:AlternateContent xmlns:mc="http://schemas.openxmlformats.org/markup-compatibility/2006">
      <mc:Choice Requires="x14">
        <control shapeId="2117" r:id="rId78" name="CommandButton48">
          <controlPr defaultSize="0" autoLine="0" autoPict="0" r:id="rId79">
            <anchor moveWithCells="1">
              <from>
                <xdr:col>34</xdr:col>
                <xdr:colOff>7620</xdr:colOff>
                <xdr:row>43</xdr:row>
                <xdr:rowOff>0</xdr:rowOff>
              </from>
              <to>
                <xdr:col>36</xdr:col>
                <xdr:colOff>121920</xdr:colOff>
                <xdr:row>44</xdr:row>
                <xdr:rowOff>121920</xdr:rowOff>
              </to>
            </anchor>
          </controlPr>
        </control>
      </mc:Choice>
      <mc:Fallback>
        <control shapeId="2117" r:id="rId78" name="CommandButton48"/>
      </mc:Fallback>
    </mc:AlternateContent>
    <mc:AlternateContent xmlns:mc="http://schemas.openxmlformats.org/markup-compatibility/2006">
      <mc:Choice Requires="x14">
        <control shapeId="2123" r:id="rId80" name="CommandButton54">
          <controlPr defaultSize="0" autoLine="0" autoPict="0" r:id="rId81">
            <anchor moveWithCells="1">
              <from>
                <xdr:col>34</xdr:col>
                <xdr:colOff>45720</xdr:colOff>
                <xdr:row>43</xdr:row>
                <xdr:rowOff>0</xdr:rowOff>
              </from>
              <to>
                <xdr:col>36</xdr:col>
                <xdr:colOff>83820</xdr:colOff>
                <xdr:row>44</xdr:row>
                <xdr:rowOff>144780</xdr:rowOff>
              </to>
            </anchor>
          </controlPr>
        </control>
      </mc:Choice>
      <mc:Fallback>
        <control shapeId="2123" r:id="rId80" name="CommandButton54"/>
      </mc:Fallback>
    </mc:AlternateContent>
    <mc:AlternateContent xmlns:mc="http://schemas.openxmlformats.org/markup-compatibility/2006">
      <mc:Choice Requires="x14">
        <control shapeId="2124" r:id="rId82" name="CommandButton55">
          <controlPr defaultSize="0" autoLine="0" r:id="rId83">
            <anchor moveWithCells="1">
              <from>
                <xdr:col>34</xdr:col>
                <xdr:colOff>0</xdr:colOff>
                <xdr:row>43</xdr:row>
                <xdr:rowOff>0</xdr:rowOff>
              </from>
              <to>
                <xdr:col>36</xdr:col>
                <xdr:colOff>38100</xdr:colOff>
                <xdr:row>44</xdr:row>
                <xdr:rowOff>121920</xdr:rowOff>
              </to>
            </anchor>
          </controlPr>
        </control>
      </mc:Choice>
      <mc:Fallback>
        <control shapeId="2124" r:id="rId82" name="CommandButton55"/>
      </mc:Fallback>
    </mc:AlternateContent>
    <mc:AlternateContent xmlns:mc="http://schemas.openxmlformats.org/markup-compatibility/2006">
      <mc:Choice Requires="x14">
        <control shapeId="2125" r:id="rId84" name="CommandButton56">
          <controlPr defaultSize="0" autoLine="0" r:id="rId85">
            <anchor moveWithCells="1">
              <from>
                <xdr:col>34</xdr:col>
                <xdr:colOff>7620</xdr:colOff>
                <xdr:row>43</xdr:row>
                <xdr:rowOff>0</xdr:rowOff>
              </from>
              <to>
                <xdr:col>36</xdr:col>
                <xdr:colOff>22860</xdr:colOff>
                <xdr:row>44</xdr:row>
                <xdr:rowOff>137160</xdr:rowOff>
              </to>
            </anchor>
          </controlPr>
        </control>
      </mc:Choice>
      <mc:Fallback>
        <control shapeId="2125" r:id="rId84" name="CommandButton56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DDB39-A301-44B6-8EB1-6795EDC42252}">
  <sheetPr codeName="Feuil2">
    <tabColor rgb="FF7030A0"/>
  </sheetPr>
  <dimension ref="A5:N41"/>
  <sheetViews>
    <sheetView showGridLines="0" view="pageLayout" topLeftCell="A10" zoomScaleNormal="99" workbookViewId="0">
      <selection activeCell="D12" sqref="D12:E12"/>
    </sheetView>
  </sheetViews>
  <sheetFormatPr baseColWidth="10" defaultColWidth="10.88671875" defaultRowHeight="14.4"/>
  <cols>
    <col min="1" max="1" width="4.6640625" style="5" customWidth="1"/>
    <col min="2" max="2" width="10.88671875" style="5"/>
    <col min="3" max="3" width="10.109375" style="5" customWidth="1"/>
    <col min="4" max="4" width="16.33203125" style="5" customWidth="1"/>
    <col min="5" max="5" width="30.44140625" style="5" customWidth="1"/>
    <col min="6" max="6" width="10.6640625" style="5" customWidth="1"/>
    <col min="7" max="7" width="7.6640625" style="5" customWidth="1"/>
    <col min="8" max="8" width="6.88671875" style="5" customWidth="1"/>
    <col min="9" max="9" width="7.33203125" style="5" customWidth="1"/>
    <col min="10" max="12" width="8.6640625" style="5" customWidth="1"/>
    <col min="13" max="13" width="12.6640625" style="5" customWidth="1"/>
    <col min="14" max="14" width="4.6640625" style="5" customWidth="1"/>
    <col min="15" max="16384" width="10.88671875" style="5"/>
  </cols>
  <sheetData>
    <row r="5" spans="1:14">
      <c r="E5" s="229" t="s">
        <v>89</v>
      </c>
      <c r="F5" s="229"/>
      <c r="G5" s="229"/>
      <c r="H5" s="229"/>
      <c r="I5" s="229"/>
      <c r="J5" s="229"/>
      <c r="K5" s="229"/>
      <c r="L5" s="229"/>
      <c r="M5" s="229"/>
    </row>
    <row r="6" spans="1:14">
      <c r="E6" s="229"/>
      <c r="F6" s="229"/>
      <c r="G6" s="229"/>
      <c r="H6" s="229"/>
      <c r="I6" s="229"/>
      <c r="J6" s="229"/>
      <c r="K6" s="229"/>
      <c r="L6" s="229"/>
      <c r="M6" s="229"/>
    </row>
    <row r="7" spans="1:14">
      <c r="E7" s="229"/>
      <c r="F7" s="229"/>
      <c r="G7" s="229"/>
      <c r="H7" s="229"/>
      <c r="I7" s="229"/>
      <c r="J7" s="229"/>
      <c r="K7" s="229"/>
      <c r="L7" s="229"/>
      <c r="M7" s="229"/>
    </row>
    <row r="8" spans="1:14">
      <c r="E8" s="230"/>
      <c r="F8" s="230"/>
      <c r="G8" s="230"/>
      <c r="H8" s="230"/>
      <c r="I8" s="230"/>
      <c r="J8" s="230"/>
      <c r="K8" s="230"/>
      <c r="L8" s="230"/>
      <c r="M8" s="230"/>
    </row>
    <row r="9" spans="1:14" ht="18" customHeight="1">
      <c r="A9" s="37"/>
      <c r="B9" s="239" t="s">
        <v>35</v>
      </c>
      <c r="C9" s="239"/>
      <c r="D9" s="239"/>
      <c r="E9" s="239"/>
      <c r="F9" s="239"/>
      <c r="G9" s="239"/>
      <c r="H9" s="239"/>
      <c r="I9" s="239"/>
      <c r="J9" s="239"/>
      <c r="K9" s="239"/>
      <c r="L9" s="239"/>
      <c r="M9" s="239"/>
      <c r="N9" s="37"/>
    </row>
    <row r="10" spans="1:14" ht="18" customHeight="1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1:14" ht="15" customHeight="1">
      <c r="B11" s="6" t="s">
        <v>36</v>
      </c>
      <c r="C11" s="244" t="str">
        <f>'SEMESTRE N°1'!A10</f>
        <v>ASSOUMOU MENGOME Augustin Evry</v>
      </c>
      <c r="D11" s="244"/>
      <c r="E11" s="244"/>
      <c r="F11" s="6" t="s">
        <v>37</v>
      </c>
      <c r="G11" s="245" t="str">
        <f>A41</f>
        <v>Licence Pro. Informatique-1ère année Tronc commun</v>
      </c>
      <c r="H11" s="245"/>
      <c r="I11" s="245"/>
      <c r="J11" s="245"/>
      <c r="K11" s="245"/>
      <c r="L11" s="245"/>
    </row>
    <row r="12" spans="1:14" ht="15" customHeight="1">
      <c r="B12" s="246" t="s">
        <v>38</v>
      </c>
      <c r="C12" s="246"/>
      <c r="D12" s="247">
        <f>'SEMESTRE N°1'!B10</f>
        <v>36964</v>
      </c>
      <c r="E12" s="245"/>
      <c r="F12" s="6" t="s">
        <v>29</v>
      </c>
      <c r="G12" s="245" t="str">
        <f>'SEMESTRE N°1'!E10</f>
        <v>TC-1</v>
      </c>
      <c r="H12" s="245"/>
      <c r="I12" s="245"/>
      <c r="J12" s="245"/>
      <c r="K12" s="245"/>
      <c r="L12" s="245"/>
    </row>
    <row r="13" spans="1:14" ht="15" customHeight="1">
      <c r="B13" s="6" t="s">
        <v>39</v>
      </c>
      <c r="C13" s="248" t="str">
        <f>'SEMESTRE N°1'!C10</f>
        <v>Gabonaise</v>
      </c>
      <c r="D13" s="248"/>
      <c r="E13" s="248"/>
      <c r="F13" s="6" t="s">
        <v>40</v>
      </c>
      <c r="G13" s="249"/>
      <c r="H13" s="249"/>
      <c r="I13" s="249"/>
      <c r="J13" s="249"/>
      <c r="K13" s="249"/>
      <c r="L13" s="249"/>
    </row>
    <row r="14" spans="1:14" ht="15" customHeight="1">
      <c r="B14" s="6" t="s">
        <v>41</v>
      </c>
      <c r="C14" s="276" t="str">
        <f>'SEMESTRE N°1'!D10</f>
        <v>012024</v>
      </c>
      <c r="D14" s="276"/>
      <c r="E14" s="277"/>
      <c r="F14" s="6" t="s">
        <v>42</v>
      </c>
      <c r="G14" s="278"/>
      <c r="H14" s="278"/>
      <c r="I14" s="278"/>
      <c r="J14" s="278"/>
      <c r="K14" s="278"/>
      <c r="L14" s="278"/>
    </row>
    <row r="15" spans="1:14">
      <c r="B15" s="281" t="s">
        <v>43</v>
      </c>
      <c r="C15" s="281"/>
      <c r="D15" s="281"/>
      <c r="E15" s="282" t="s">
        <v>17</v>
      </c>
      <c r="F15" s="283"/>
      <c r="G15" s="240" t="s">
        <v>44</v>
      </c>
      <c r="H15" s="240"/>
      <c r="I15" s="240"/>
      <c r="J15" s="240"/>
      <c r="K15" s="240"/>
      <c r="L15" s="240"/>
      <c r="M15" s="240"/>
    </row>
    <row r="16" spans="1:14">
      <c r="B16" s="281"/>
      <c r="C16" s="281"/>
      <c r="D16" s="281"/>
      <c r="E16" s="282"/>
      <c r="F16" s="283"/>
      <c r="G16" s="240" t="s">
        <v>83</v>
      </c>
      <c r="H16" s="240"/>
      <c r="I16" s="240"/>
      <c r="J16" s="256" t="s">
        <v>46</v>
      </c>
      <c r="K16" s="257"/>
      <c r="L16" s="257"/>
      <c r="M16" s="258" t="s">
        <v>47</v>
      </c>
    </row>
    <row r="17" spans="2:13" ht="15" customHeight="1">
      <c r="B17" s="233" t="s">
        <v>48</v>
      </c>
      <c r="C17" s="273" t="s">
        <v>49</v>
      </c>
      <c r="D17" s="273"/>
      <c r="E17" s="272" t="s">
        <v>49</v>
      </c>
      <c r="F17" s="272" t="s">
        <v>50</v>
      </c>
      <c r="G17" s="2" t="s">
        <v>51</v>
      </c>
      <c r="H17" s="272" t="s">
        <v>52</v>
      </c>
      <c r="I17" s="272"/>
      <c r="J17" s="261" t="s">
        <v>17</v>
      </c>
      <c r="K17" s="261"/>
      <c r="L17" s="262"/>
      <c r="M17" s="259"/>
    </row>
    <row r="18" spans="2:13">
      <c r="B18" s="234"/>
      <c r="C18" s="272"/>
      <c r="D18" s="274"/>
      <c r="E18" s="272"/>
      <c r="F18" s="272"/>
      <c r="G18" s="60" t="s">
        <v>53</v>
      </c>
      <c r="H18" s="60" t="s">
        <v>53</v>
      </c>
      <c r="I18" s="60" t="s">
        <v>50</v>
      </c>
      <c r="J18" s="87" t="s">
        <v>53</v>
      </c>
      <c r="K18" s="87" t="s">
        <v>53</v>
      </c>
      <c r="L18" s="89" t="s">
        <v>50</v>
      </c>
      <c r="M18" s="260"/>
    </row>
    <row r="19" spans="2:13" ht="15" customHeight="1">
      <c r="B19" s="234"/>
      <c r="C19" s="243" t="s">
        <v>54</v>
      </c>
      <c r="D19" s="268" t="s">
        <v>55</v>
      </c>
      <c r="E19" s="118" t="s">
        <v>56</v>
      </c>
      <c r="F19" s="9">
        <v>3</v>
      </c>
      <c r="G19" s="92">
        <f>[1]BULL_N0!G19</f>
        <v>7.6000000000000005</v>
      </c>
      <c r="H19" s="241">
        <f>IF(AND(G19&gt;=7, G20&gt;=7), ROUND(((F19*G19) + (F20*G20)) / (F19 + F20), 2), 0)</f>
        <v>0</v>
      </c>
      <c r="I19" s="241">
        <f>IF(H19&gt;9.99,(F19+F20),0)</f>
        <v>0</v>
      </c>
      <c r="J19" s="90">
        <f>IF(AND(G19&lt;10, H19&lt;10), 'SEMESTRE N°1'!G10, IF(AND(G19&gt;=10, H19&gt;=10), G19, IF(AND(G19&gt;=10, H19&lt;10), G19, IF(AND(G19&lt;10, H19&gt;=10), G19, ""))))</f>
        <v>14</v>
      </c>
      <c r="K19" s="235">
        <f>IF(AND(J19&gt;=7, J20&gt;=7), ROUND(((F19*J19) + (F20*J20)) / (F19 + F20), 2), 0)</f>
        <v>17</v>
      </c>
      <c r="L19" s="235">
        <f>IF(K19&gt;9.99,(F19+F20),0)</f>
        <v>6</v>
      </c>
      <c r="M19" s="263" t="str">
        <f>IF(K19&gt;9.99,"Validé","Non validé")</f>
        <v>Validé</v>
      </c>
    </row>
    <row r="20" spans="2:13" ht="15" customHeight="1">
      <c r="B20" s="234"/>
      <c r="C20" s="243"/>
      <c r="D20" s="269"/>
      <c r="E20" s="118" t="s">
        <v>57</v>
      </c>
      <c r="F20" s="9">
        <v>3</v>
      </c>
      <c r="G20" s="92">
        <f>[1]BULL_N0!G20</f>
        <v>5.6</v>
      </c>
      <c r="H20" s="242"/>
      <c r="I20" s="241"/>
      <c r="J20" s="90">
        <f>IF(AND(G20&lt;10, H19&lt;10), 'SEMESTRE N°1'!J10, IF(AND(G20&gt;=10, H19&gt;=10), G20, IF(AND(G20&gt;=10, H19&lt;10), G20, IF(AND(G20&lt;10, H19&gt;=10), G20, ""))))</f>
        <v>20</v>
      </c>
      <c r="K20" s="235"/>
      <c r="L20" s="235"/>
      <c r="M20" s="263"/>
    </row>
    <row r="21" spans="2:13" ht="15" customHeight="1">
      <c r="B21" s="234"/>
      <c r="C21" s="243" t="s">
        <v>58</v>
      </c>
      <c r="D21" s="268" t="s">
        <v>59</v>
      </c>
      <c r="E21" s="118" t="s">
        <v>169</v>
      </c>
      <c r="F21" s="9">
        <v>5</v>
      </c>
      <c r="G21" s="92">
        <f>[1]BULL_N0!G21</f>
        <v>8.8000000000000007</v>
      </c>
      <c r="H21" s="241">
        <f>IF(AND(G21&gt;=7, G22&gt;=7, G23&gt;=7), ROUND(((F21*G21) + (F22*G22)+ (F23*G23)) / (F21 + F22+F23), 2), 0)</f>
        <v>0</v>
      </c>
      <c r="I21" s="241">
        <f>IF(H21&gt;9.99,(F21+F22+F23),0)</f>
        <v>0</v>
      </c>
      <c r="J21" s="90">
        <f>IF(AND(G21&lt;10, H21&lt;10), 'SEMESTRE N°1'!M10, IF(AND(G21&gt;=10, H21&gt;=10), G21, IF(AND(G21&gt;=10, H21&lt;10), G21, IF(AND(G21&lt;10, H21&gt;=10), G21, ""))))</f>
        <v>11</v>
      </c>
      <c r="K21" s="280">
        <f>IF(AND(J21&gt;=7, J22&gt;=7, J23&gt;=7), ROUND(((F21*J21) + (F22*J22)+ (F23*J23)) / (F21 + F22+F23), 2), 0)</f>
        <v>0</v>
      </c>
      <c r="L21" s="236">
        <f>IF(K21&gt;9.99,(F21+F22+F23),0)</f>
        <v>0</v>
      </c>
      <c r="M21" s="251" t="str">
        <f>IF(K21&gt;9.99,"Validé","Non validé")</f>
        <v>Non validé</v>
      </c>
    </row>
    <row r="22" spans="2:13" ht="15" customHeight="1">
      <c r="B22" s="234"/>
      <c r="C22" s="243"/>
      <c r="D22" s="279"/>
      <c r="E22" s="118" t="s">
        <v>61</v>
      </c>
      <c r="F22" s="9">
        <v>3</v>
      </c>
      <c r="G22" s="92">
        <f>[1]BULL_N0!G22</f>
        <v>14.96</v>
      </c>
      <c r="H22" s="242"/>
      <c r="I22" s="241"/>
      <c r="J22" s="93">
        <f>IF(AND(G22&lt;10, H21&lt;10), 'SEMESTRE N°1'!P10, IF(AND(G22&gt;=10, H21&gt;=10), G22, IF(AND(G22&gt;=10, H21&lt;10), G22, IF(AND(G22&lt;10, H21&gt;=10), G22, ""))))</f>
        <v>14.96</v>
      </c>
      <c r="K22" s="280"/>
      <c r="L22" s="237"/>
      <c r="M22" s="252"/>
    </row>
    <row r="23" spans="2:13" ht="15" customHeight="1">
      <c r="B23" s="234"/>
      <c r="C23" s="243"/>
      <c r="D23" s="269"/>
      <c r="E23" s="118" t="s">
        <v>62</v>
      </c>
      <c r="F23" s="9">
        <v>3</v>
      </c>
      <c r="G23" s="92">
        <f>[1]BULL_N0!G23</f>
        <v>5.35</v>
      </c>
      <c r="H23" s="242"/>
      <c r="I23" s="241"/>
      <c r="J23" s="90">
        <f>G23</f>
        <v>5.35</v>
      </c>
      <c r="K23" s="280"/>
      <c r="L23" s="238"/>
      <c r="M23" s="253"/>
    </row>
    <row r="24" spans="2:13" ht="15" customHeight="1">
      <c r="B24" s="234"/>
      <c r="C24" s="243" t="s">
        <v>63</v>
      </c>
      <c r="D24" s="268" t="s">
        <v>64</v>
      </c>
      <c r="E24" s="118" t="s">
        <v>65</v>
      </c>
      <c r="F24" s="9">
        <v>4</v>
      </c>
      <c r="G24" s="92">
        <f>[1]BULL_N0!G24</f>
        <v>6.4</v>
      </c>
      <c r="H24" s="241">
        <f>IF(AND(G24&gt;=7, G25&gt;=7), ROUND(((F24*G24) + (F25*G25)) / (F24 + F25), 2), 0)</f>
        <v>0</v>
      </c>
      <c r="I24" s="241">
        <f>IF(H24&gt;9.99,(F24+F25),0)</f>
        <v>0</v>
      </c>
      <c r="J24" s="90">
        <f>IF(AND(G24&lt;10, H24&lt;10), 'SEMESTRE N°1'!V10, IF(AND(G24&gt;=10, H24&gt;=10), G24, IF(AND(G24&gt;=10, H24&lt;10), G24, IF(AND(G24&lt;10, H24&gt;=10), G24, ""))))</f>
        <v>9</v>
      </c>
      <c r="K24" s="286">
        <f>IF(AND(J24&gt;=7, J25&gt;=7), ROUND(((F24*J24) + (F25*J25)) / (F24 + F25), 2), 0)</f>
        <v>10.9</v>
      </c>
      <c r="L24" s="286">
        <f>IF(K24&gt;9.99,(F24+F25),0)</f>
        <v>8</v>
      </c>
      <c r="M24" s="254" t="str">
        <f>IF(K24&gt;9.99,"Validé","Non validé")</f>
        <v>Validé</v>
      </c>
    </row>
    <row r="25" spans="2:13" ht="15" customHeight="1">
      <c r="B25" s="234"/>
      <c r="C25" s="243"/>
      <c r="D25" s="269"/>
      <c r="E25" s="118" t="s">
        <v>66</v>
      </c>
      <c r="F25" s="9">
        <v>4</v>
      </c>
      <c r="G25" s="92">
        <f>[1]BULL_N0!G25</f>
        <v>12.8</v>
      </c>
      <c r="H25" s="242"/>
      <c r="I25" s="241"/>
      <c r="J25" s="93">
        <f>IF(AND(G25&lt;10, H24&lt;10), 'SEMESTRE N°1'!Y10, IF(AND(G25&gt;=10, H24&gt;=10), G25, IF(AND(G25&gt;=10, H24&lt;10), G25, IF(AND(G25&lt;10, H24&gt;=10), G25, ""))))</f>
        <v>12.8</v>
      </c>
      <c r="K25" s="287"/>
      <c r="L25" s="287"/>
      <c r="M25" s="255"/>
    </row>
    <row r="26" spans="2:13" ht="15" customHeight="1">
      <c r="B26" s="234"/>
      <c r="C26" s="243" t="s">
        <v>67</v>
      </c>
      <c r="D26" s="268" t="s">
        <v>68</v>
      </c>
      <c r="E26" s="118" t="s">
        <v>69</v>
      </c>
      <c r="F26" s="9">
        <v>2</v>
      </c>
      <c r="G26" s="92">
        <f>[1]BULL_N0!G26</f>
        <v>10.6</v>
      </c>
      <c r="H26" s="241">
        <f>IF(AND(G26&gt;=7, G27&gt;=7), ROUND(((F26*G26) + (F27*G27)) / (F26 + F27), 2), 0)</f>
        <v>14.95</v>
      </c>
      <c r="I26" s="241">
        <f>IF(H26&gt;9.99,(F26+F27),0)</f>
        <v>5</v>
      </c>
      <c r="J26" s="159">
        <f>IF(AND(G26&lt;10, H26&lt;10), 'SEMESTRE N°1'!AB10, IF(AND(G26&gt;=10, H26&gt;=10), G26, IF(AND(G26&gt;=10, H26&lt;10), G26, IF(AND(G26&lt;10, H26&gt;=10), G26, ""))))</f>
        <v>10.6</v>
      </c>
      <c r="K26" s="270">
        <f>IF(AND(J26&gt;=7, J27&gt;=7), ROUND(((F26*J26) + (F27*J27)) / (F26 + F27), 2), 0)</f>
        <v>14.95</v>
      </c>
      <c r="L26" s="231">
        <f>IF(K26&gt;9.99,(F26+F27),0)</f>
        <v>5</v>
      </c>
      <c r="M26" s="254" t="str">
        <f>IF(K26&gt;9.99,"Validé","Non validé")</f>
        <v>Validé</v>
      </c>
    </row>
    <row r="27" spans="2:13" ht="23.25" customHeight="1">
      <c r="B27" s="234"/>
      <c r="C27" s="243"/>
      <c r="D27" s="269"/>
      <c r="E27" s="118" t="s">
        <v>70</v>
      </c>
      <c r="F27" s="9">
        <v>3</v>
      </c>
      <c r="G27" s="92">
        <f>[1]BULL_N0!G27</f>
        <v>17.850000000000001</v>
      </c>
      <c r="H27" s="242"/>
      <c r="I27" s="241"/>
      <c r="J27" s="159">
        <f>IF(AND(G27&lt;10, H26&lt;10), 'SEMESTRE N°1'!J10, IF(AND(G27&gt;=10, H26&gt;=10), G27, IF(AND(G27&gt;=10, H26&lt;10), G27, IF(AND(G27&lt;10, H26&gt;=10), G27, ""))))</f>
        <v>17.850000000000001</v>
      </c>
      <c r="K27" s="271"/>
      <c r="L27" s="232"/>
      <c r="M27" s="255"/>
    </row>
    <row r="28" spans="2:13" ht="20.100000000000001" customHeight="1">
      <c r="B28" s="234"/>
      <c r="C28" s="284" t="s">
        <v>71</v>
      </c>
      <c r="D28" s="285"/>
      <c r="E28" s="284"/>
      <c r="F28" s="19">
        <f>F19+F20+F21+F22+F23+F24+F25+F26+F27</f>
        <v>30</v>
      </c>
      <c r="G28" s="3"/>
      <c r="H28" s="117">
        <f>ROUND((H19+H21+H24+H26)/4,2)</f>
        <v>3.74</v>
      </c>
      <c r="I28" s="110">
        <f>I26+I24+I21+I19</f>
        <v>5</v>
      </c>
      <c r="J28" s="91"/>
      <c r="K28" s="106">
        <f>ROUND((K19+K21+K24+K26)/4,2)</f>
        <v>10.71</v>
      </c>
      <c r="L28" s="107">
        <f>SUM(L19:L27)</f>
        <v>19</v>
      </c>
      <c r="M28" s="88"/>
    </row>
    <row r="29" spans="2:13" ht="15" customHeight="1">
      <c r="C29" s="11"/>
      <c r="G29" s="11"/>
    </row>
    <row r="30" spans="2:13" ht="17.100000000000001" customHeight="1">
      <c r="B30" s="264" t="s">
        <v>72</v>
      </c>
      <c r="C30" s="265"/>
      <c r="D30" s="70">
        <f>L28</f>
        <v>19</v>
      </c>
      <c r="E30" s="12"/>
      <c r="F30" s="13"/>
      <c r="G30" s="14"/>
      <c r="H30" s="15"/>
      <c r="I30" s="15"/>
      <c r="K30" s="275" t="s">
        <v>73</v>
      </c>
      <c r="L30" s="275"/>
      <c r="M30" s="275"/>
    </row>
    <row r="31" spans="2:13" ht="17.100000000000001" customHeight="1">
      <c r="B31" s="266" t="s">
        <v>74</v>
      </c>
      <c r="C31" s="267"/>
      <c r="D31" s="71" t="str">
        <f>IF(D30=F28,"Semestre validé","Semestre non validé")</f>
        <v>Semestre non validé</v>
      </c>
      <c r="E31" s="13"/>
      <c r="F31" s="13"/>
      <c r="G31" s="16"/>
      <c r="H31" s="36"/>
      <c r="I31" s="36"/>
      <c r="J31" s="36"/>
      <c r="K31" s="36"/>
      <c r="L31" s="36"/>
      <c r="M31" s="36"/>
    </row>
    <row r="32" spans="2:13" ht="17.100000000000001" customHeight="1">
      <c r="B32" s="266" t="s">
        <v>75</v>
      </c>
      <c r="C32" s="267"/>
      <c r="D32" s="1">
        <v>0</v>
      </c>
      <c r="E32" s="13"/>
      <c r="F32" s="13"/>
      <c r="G32" s="16"/>
      <c r="H32" s="13"/>
      <c r="I32" s="13"/>
      <c r="J32" s="13"/>
    </row>
    <row r="33" spans="1:14" ht="17.100000000000001" customHeight="1">
      <c r="B33" s="59"/>
      <c r="C33" s="59"/>
      <c r="D33" s="1"/>
      <c r="E33" s="13"/>
      <c r="F33" s="13"/>
      <c r="G33" s="16"/>
      <c r="H33" s="13"/>
      <c r="I33" s="13"/>
      <c r="J33" s="13"/>
    </row>
    <row r="34" spans="1:14" ht="17.100000000000001" customHeight="1">
      <c r="B34" s="59"/>
      <c r="C34" s="59"/>
      <c r="D34" s="1"/>
      <c r="E34" s="13"/>
      <c r="F34" s="13"/>
      <c r="G34" s="16"/>
      <c r="H34" s="13"/>
      <c r="I34" s="13"/>
      <c r="J34" s="13"/>
    </row>
    <row r="35" spans="1:14" ht="17.100000000000001" customHeight="1">
      <c r="G35" s="275" t="s">
        <v>76</v>
      </c>
      <c r="H35" s="275"/>
      <c r="I35" s="275"/>
      <c r="J35" s="275"/>
      <c r="K35" s="275"/>
      <c r="L35" s="275"/>
      <c r="M35" s="275"/>
      <c r="N35" s="35"/>
    </row>
    <row r="36" spans="1:14" ht="17.100000000000001" customHeight="1">
      <c r="B36" s="250" t="s">
        <v>77</v>
      </c>
      <c r="C36" s="250"/>
      <c r="D36" s="250"/>
      <c r="E36" s="250"/>
      <c r="F36" s="250"/>
      <c r="G36" s="250"/>
      <c r="H36" s="250"/>
      <c r="I36" s="250"/>
      <c r="J36" s="250"/>
      <c r="K36" s="250"/>
      <c r="L36" s="250"/>
      <c r="M36" s="250"/>
    </row>
    <row r="37" spans="1:14" ht="17.100000000000001" customHeight="1">
      <c r="B37" s="250"/>
      <c r="C37" s="250"/>
      <c r="D37" s="250"/>
      <c r="E37" s="250"/>
      <c r="F37" s="250"/>
      <c r="G37" s="250"/>
      <c r="H37" s="250"/>
      <c r="I37" s="250"/>
      <c r="J37" s="250"/>
      <c r="K37" s="250"/>
      <c r="L37" s="250"/>
      <c r="M37" s="250"/>
    </row>
    <row r="38" spans="1:14" ht="17.100000000000001" customHeight="1"/>
    <row r="39" spans="1:14" ht="17.100000000000001" customHeight="1"/>
    <row r="40" spans="1:14" ht="13.5" customHeight="1"/>
    <row r="41" spans="1:14" hidden="1">
      <c r="A41" s="18" t="s">
        <v>78</v>
      </c>
    </row>
  </sheetData>
  <sheetProtection selectLockedCells="1"/>
  <mergeCells count="58">
    <mergeCell ref="K30:M30"/>
    <mergeCell ref="G35:M35"/>
    <mergeCell ref="C14:E14"/>
    <mergeCell ref="G14:L14"/>
    <mergeCell ref="C21:C23"/>
    <mergeCell ref="D21:D23"/>
    <mergeCell ref="H21:H23"/>
    <mergeCell ref="I21:I23"/>
    <mergeCell ref="K21:K23"/>
    <mergeCell ref="B15:D16"/>
    <mergeCell ref="E15:F16"/>
    <mergeCell ref="G16:I16"/>
    <mergeCell ref="C28:E28"/>
    <mergeCell ref="I24:I25"/>
    <mergeCell ref="K24:K25"/>
    <mergeCell ref="L24:L25"/>
    <mergeCell ref="H24:H25"/>
    <mergeCell ref="B32:C32"/>
    <mergeCell ref="H17:I17"/>
    <mergeCell ref="C19:C20"/>
    <mergeCell ref="D19:D20"/>
    <mergeCell ref="H19:H20"/>
    <mergeCell ref="I19:I20"/>
    <mergeCell ref="C17:D18"/>
    <mergeCell ref="E17:E18"/>
    <mergeCell ref="F17:F18"/>
    <mergeCell ref="G13:L13"/>
    <mergeCell ref="B36:M37"/>
    <mergeCell ref="M21:M23"/>
    <mergeCell ref="M24:M25"/>
    <mergeCell ref="M26:M27"/>
    <mergeCell ref="J16:L16"/>
    <mergeCell ref="M16:M18"/>
    <mergeCell ref="J17:L17"/>
    <mergeCell ref="M19:M20"/>
    <mergeCell ref="B30:C30"/>
    <mergeCell ref="B31:C31"/>
    <mergeCell ref="D26:D27"/>
    <mergeCell ref="K26:K27"/>
    <mergeCell ref="K19:K20"/>
    <mergeCell ref="C24:C25"/>
    <mergeCell ref="D24:D25"/>
    <mergeCell ref="E5:M8"/>
    <mergeCell ref="L26:L27"/>
    <mergeCell ref="B17:B28"/>
    <mergeCell ref="L19:L20"/>
    <mergeCell ref="L21:L23"/>
    <mergeCell ref="B9:M9"/>
    <mergeCell ref="G15:M15"/>
    <mergeCell ref="H26:H27"/>
    <mergeCell ref="I26:I27"/>
    <mergeCell ref="C26:C27"/>
    <mergeCell ref="C11:E11"/>
    <mergeCell ref="G11:L11"/>
    <mergeCell ref="B12:C12"/>
    <mergeCell ref="D12:E12"/>
    <mergeCell ref="C13:E13"/>
    <mergeCell ref="G12:L12"/>
  </mergeCells>
  <pageMargins left="0" right="0" top="0" bottom="0" header="0" footer="0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80802-3B68-4DC6-9727-1A8D673075F3}">
  <sheetPr codeName="Feuil3">
    <tabColor rgb="FF7030A0"/>
  </sheetPr>
  <dimension ref="A5:M41"/>
  <sheetViews>
    <sheetView showGridLines="0" view="pageLayout" topLeftCell="A7" zoomScaleNormal="100" workbookViewId="0">
      <selection activeCell="C13" sqref="C13:E13"/>
    </sheetView>
  </sheetViews>
  <sheetFormatPr baseColWidth="10" defaultColWidth="10.88671875" defaultRowHeight="14.4"/>
  <cols>
    <col min="1" max="1" width="4.6640625" style="5" customWidth="1"/>
    <col min="2" max="2" width="10.88671875" style="5"/>
    <col min="3" max="3" width="10.33203125" style="5" customWidth="1"/>
    <col min="4" max="4" width="15.44140625" style="5" customWidth="1"/>
    <col min="5" max="5" width="29" style="5" customWidth="1"/>
    <col min="6" max="6" width="10.6640625" style="5" customWidth="1"/>
    <col min="7" max="7" width="7.6640625" style="5" customWidth="1"/>
    <col min="8" max="8" width="6.6640625" style="5" customWidth="1"/>
    <col min="9" max="9" width="7.44140625" style="5" customWidth="1"/>
    <col min="10" max="12" width="8.6640625" style="5" customWidth="1"/>
    <col min="13" max="13" width="12.6640625" style="5" customWidth="1"/>
    <col min="14" max="16384" width="10.88671875" style="5"/>
  </cols>
  <sheetData>
    <row r="5" spans="1:13">
      <c r="E5" s="288" t="s">
        <v>162</v>
      </c>
      <c r="F5" s="229"/>
      <c r="G5" s="229"/>
      <c r="H5" s="229"/>
      <c r="I5" s="229"/>
      <c r="J5" s="229"/>
      <c r="K5" s="229"/>
      <c r="L5" s="229"/>
      <c r="M5" s="229"/>
    </row>
    <row r="6" spans="1:13">
      <c r="E6" s="229"/>
      <c r="F6" s="229"/>
      <c r="G6" s="229"/>
      <c r="H6" s="229"/>
      <c r="I6" s="229"/>
      <c r="J6" s="229"/>
      <c r="K6" s="229"/>
      <c r="L6" s="229"/>
      <c r="M6" s="229"/>
    </row>
    <row r="7" spans="1:13">
      <c r="E7" s="229"/>
      <c r="F7" s="229"/>
      <c r="G7" s="229"/>
      <c r="H7" s="229"/>
      <c r="I7" s="229"/>
      <c r="J7" s="229"/>
      <c r="K7" s="229"/>
      <c r="L7" s="229"/>
      <c r="M7" s="229"/>
    </row>
    <row r="8" spans="1:13">
      <c r="E8" s="230"/>
      <c r="F8" s="230"/>
      <c r="G8" s="230"/>
      <c r="H8" s="230"/>
      <c r="I8" s="230"/>
      <c r="J8" s="230"/>
      <c r="K8" s="230"/>
      <c r="L8" s="230"/>
      <c r="M8" s="230"/>
    </row>
    <row r="9" spans="1:13" ht="18" customHeight="1">
      <c r="A9" s="37"/>
      <c r="B9" s="239" t="s">
        <v>35</v>
      </c>
      <c r="C9" s="239"/>
      <c r="D9" s="239"/>
      <c r="E9" s="239"/>
      <c r="F9" s="239"/>
      <c r="G9" s="239"/>
      <c r="H9" s="239"/>
      <c r="I9" s="239"/>
      <c r="J9" s="239"/>
      <c r="K9" s="239"/>
      <c r="L9" s="239"/>
      <c r="M9" s="239"/>
    </row>
    <row r="10" spans="1:13" ht="11.25" customHeight="1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1:13" ht="15" customHeight="1">
      <c r="B11" s="6" t="s">
        <v>36</v>
      </c>
      <c r="C11" s="291" t="str">
        <f>'SEMESTRE N°1'!A11</f>
        <v>BASSOUNGUIE Alexane-Edwige</v>
      </c>
      <c r="D11" s="292"/>
      <c r="E11" s="292"/>
      <c r="F11" s="6" t="s">
        <v>37</v>
      </c>
      <c r="G11" s="294" t="str">
        <f>A41</f>
        <v>Licence Pro. Informatique-1ère année Tronc commun</v>
      </c>
      <c r="H11" s="294"/>
      <c r="I11" s="294"/>
      <c r="J11" s="294"/>
      <c r="K11" s="294"/>
      <c r="L11" s="294"/>
    </row>
    <row r="12" spans="1:13" ht="15" customHeight="1">
      <c r="B12" s="246" t="s">
        <v>38</v>
      </c>
      <c r="C12" s="246"/>
      <c r="D12" s="295">
        <f>'SEMESTRE N°1'!B11</f>
        <v>37924</v>
      </c>
      <c r="E12" s="294"/>
      <c r="F12" s="6" t="s">
        <v>29</v>
      </c>
      <c r="G12" s="294" t="str">
        <f>'SEMESTRE N°1'!E11</f>
        <v>TC-1</v>
      </c>
      <c r="H12" s="294"/>
      <c r="I12" s="294"/>
      <c r="J12" s="294"/>
      <c r="K12" s="294"/>
      <c r="L12" s="294"/>
    </row>
    <row r="13" spans="1:13" ht="15" customHeight="1">
      <c r="B13" s="6" t="s">
        <v>39</v>
      </c>
      <c r="C13" s="291" t="str">
        <f>'SEMESTRE N°1'!C11</f>
        <v>Gabonaise</v>
      </c>
      <c r="D13" s="292"/>
      <c r="E13" s="292"/>
      <c r="F13" s="6" t="s">
        <v>40</v>
      </c>
      <c r="G13" s="249"/>
      <c r="H13" s="249"/>
      <c r="I13" s="249"/>
      <c r="J13" s="249"/>
      <c r="K13" s="249"/>
      <c r="L13" s="249"/>
    </row>
    <row r="14" spans="1:13" ht="15" customHeight="1">
      <c r="B14" s="6" t="s">
        <v>41</v>
      </c>
      <c r="C14" s="296" t="str">
        <f>'SEMESTRE N°1'!D11</f>
        <v>022024</v>
      </c>
      <c r="D14" s="297"/>
      <c r="E14" s="298"/>
      <c r="F14" s="6" t="s">
        <v>42</v>
      </c>
      <c r="G14" s="249"/>
      <c r="H14" s="249"/>
      <c r="I14" s="249"/>
      <c r="J14" s="249"/>
      <c r="K14" s="249"/>
      <c r="L14" s="249"/>
    </row>
    <row r="15" spans="1:13">
      <c r="B15" s="281" t="s">
        <v>43</v>
      </c>
      <c r="C15" s="281"/>
      <c r="D15" s="281"/>
      <c r="E15" s="282" t="s">
        <v>17</v>
      </c>
      <c r="F15" s="283"/>
      <c r="G15" s="240" t="s">
        <v>44</v>
      </c>
      <c r="H15" s="240"/>
      <c r="I15" s="240"/>
      <c r="J15" s="240"/>
      <c r="K15" s="240"/>
      <c r="L15" s="240"/>
      <c r="M15" s="240"/>
    </row>
    <row r="16" spans="1:13">
      <c r="B16" s="281"/>
      <c r="C16" s="281"/>
      <c r="D16" s="281"/>
      <c r="E16" s="282"/>
      <c r="F16" s="283"/>
      <c r="G16" s="240" t="s">
        <v>83</v>
      </c>
      <c r="H16" s="240"/>
      <c r="I16" s="240"/>
      <c r="J16" s="256" t="s">
        <v>46</v>
      </c>
      <c r="K16" s="257"/>
      <c r="L16" s="257"/>
      <c r="M16" s="258" t="s">
        <v>47</v>
      </c>
    </row>
    <row r="17" spans="2:13">
      <c r="B17" s="233" t="s">
        <v>48</v>
      </c>
      <c r="C17" s="273" t="s">
        <v>49</v>
      </c>
      <c r="D17" s="273"/>
      <c r="E17" s="272" t="s">
        <v>49</v>
      </c>
      <c r="F17" s="272" t="s">
        <v>50</v>
      </c>
      <c r="G17" s="2" t="s">
        <v>51</v>
      </c>
      <c r="H17" s="272" t="s">
        <v>52</v>
      </c>
      <c r="I17" s="272"/>
      <c r="J17" s="261" t="s">
        <v>17</v>
      </c>
      <c r="K17" s="261"/>
      <c r="L17" s="262"/>
      <c r="M17" s="259"/>
    </row>
    <row r="18" spans="2:13">
      <c r="B18" s="234"/>
      <c r="C18" s="272"/>
      <c r="D18" s="274"/>
      <c r="E18" s="272"/>
      <c r="F18" s="272"/>
      <c r="G18" s="60" t="s">
        <v>53</v>
      </c>
      <c r="H18" s="60" t="s">
        <v>53</v>
      </c>
      <c r="I18" s="60" t="s">
        <v>50</v>
      </c>
      <c r="J18" s="87" t="s">
        <v>53</v>
      </c>
      <c r="K18" s="87" t="s">
        <v>53</v>
      </c>
      <c r="L18" s="89" t="s">
        <v>50</v>
      </c>
      <c r="M18" s="260"/>
    </row>
    <row r="19" spans="2:13" ht="20.25" customHeight="1">
      <c r="B19" s="234"/>
      <c r="C19" s="243" t="s">
        <v>54</v>
      </c>
      <c r="D19" s="268" t="s">
        <v>55</v>
      </c>
      <c r="E19" s="118" t="s">
        <v>56</v>
      </c>
      <c r="F19" s="9">
        <v>3</v>
      </c>
      <c r="G19" s="92">
        <f>[1]BULL_N1!G19</f>
        <v>4.8</v>
      </c>
      <c r="H19" s="241">
        <f>IF(AND(G19&gt;=7, G20&gt;=7), ROUND(((F19*G19) + (F20*G20)) / (F19 + F20), 2), 0)</f>
        <v>0</v>
      </c>
      <c r="I19" s="241">
        <f>IF(H19&gt;9.99,(F19+F20),0)</f>
        <v>0</v>
      </c>
      <c r="J19" s="165">
        <f>IF(AND(G19&lt;10, H19&lt;10), 'SEMESTRE N°1'!G11, IF(AND(G19&gt;=10, H19&gt;=10), G19, IF(AND(G19&gt;=10, H19&lt;10), G19, IF(AND(G19&lt;10, H19&gt;=10), G19, ""))))</f>
        <v>10</v>
      </c>
      <c r="K19" s="293">
        <f>IF(AND(J19&gt;=7, J20&gt;=7), ROUND(((F19*J19) + (F20*J20)) / (F19 + F20), 2), 0)</f>
        <v>11</v>
      </c>
      <c r="L19" s="293">
        <f>IF(K19&gt;9.99,(F19+F20),0)</f>
        <v>6</v>
      </c>
      <c r="M19" s="263" t="str">
        <f>IF(K19&gt;9.99,"Validé","Non validé")</f>
        <v>Validé</v>
      </c>
    </row>
    <row r="20" spans="2:13">
      <c r="B20" s="234"/>
      <c r="C20" s="243"/>
      <c r="D20" s="269"/>
      <c r="E20" s="118" t="s">
        <v>57</v>
      </c>
      <c r="F20" s="9">
        <v>3</v>
      </c>
      <c r="G20" s="92">
        <f>[1]BULL_N1!G20</f>
        <v>8</v>
      </c>
      <c r="H20" s="242"/>
      <c r="I20" s="241"/>
      <c r="J20" s="165">
        <f>IF(AND(G20&lt;10, H19&lt;10), 'SEMESTRE N°1'!J11, IF(AND(G20&gt;=10, H19&gt;=10), G20, IF(AND(G20&gt;=10, H19&lt;10), G20, IF(AND(G20&lt;10, H19&gt;=10), G20, ""))))</f>
        <v>12</v>
      </c>
      <c r="K20" s="293"/>
      <c r="L20" s="293"/>
      <c r="M20" s="263"/>
    </row>
    <row r="21" spans="2:13" ht="15" customHeight="1">
      <c r="B21" s="234"/>
      <c r="C21" s="243" t="s">
        <v>58</v>
      </c>
      <c r="D21" s="268" t="s">
        <v>59</v>
      </c>
      <c r="E21" s="118" t="s">
        <v>169</v>
      </c>
      <c r="F21" s="9">
        <v>5</v>
      </c>
      <c r="G21" s="92">
        <f>[1]BULL_N1!G21</f>
        <v>11.8</v>
      </c>
      <c r="H21" s="241">
        <f>IF(AND(G21&gt;=7, G22&gt;=7, G23&gt;=7), ROUND(((F21*G21) + (F22*G22)+ (F23*G23)) / (F21 + F22+F23), 2), 0)</f>
        <v>0</v>
      </c>
      <c r="I21" s="241">
        <f>IF(H21&gt;9.99,(F21+F22+F23),0)</f>
        <v>0</v>
      </c>
      <c r="J21" s="93">
        <f>IF(AND(G21&lt;10, H21&lt;10), 'SEMESTRE N°1'!M11, IF(AND(G21&gt;=10, H21&gt;=10), G21, IF(AND(G21&gt;=10, H21&lt;10), G21, IF(AND(G21&lt;10, H21&gt;=10), G21, ""))))</f>
        <v>11.8</v>
      </c>
      <c r="K21" s="280">
        <f>IF(AND(J21&gt;=7, J22&gt;=7, J23&gt;=7), ROUND(((F21*J21) + (F22*J22)+ (F23*J23)) / (F21 + F22+F23), 2), 0)</f>
        <v>0</v>
      </c>
      <c r="L21" s="236">
        <f>IF(K21&gt;9.99,(F21+F22+F23),0)</f>
        <v>0</v>
      </c>
      <c r="M21" s="251" t="str">
        <f>IF(K21&gt;9.99,"Validé","Non validé")</f>
        <v>Non validé</v>
      </c>
    </row>
    <row r="22" spans="2:13" ht="15.6">
      <c r="B22" s="234"/>
      <c r="C22" s="243"/>
      <c r="D22" s="279"/>
      <c r="E22" s="118" t="s">
        <v>61</v>
      </c>
      <c r="F22" s="9">
        <v>3</v>
      </c>
      <c r="G22" s="92">
        <f>[1]BULL_N1!G22</f>
        <v>5.12</v>
      </c>
      <c r="H22" s="242"/>
      <c r="I22" s="241"/>
      <c r="J22" s="90">
        <f>G22</f>
        <v>5.12</v>
      </c>
      <c r="K22" s="280"/>
      <c r="L22" s="237"/>
      <c r="M22" s="252"/>
    </row>
    <row r="23" spans="2:13" ht="15.6">
      <c r="B23" s="234"/>
      <c r="C23" s="243"/>
      <c r="D23" s="269"/>
      <c r="E23" s="118" t="s">
        <v>62</v>
      </c>
      <c r="F23" s="9">
        <v>3</v>
      </c>
      <c r="G23" s="92">
        <f>[1]BULL_N1!G23</f>
        <v>2.5</v>
      </c>
      <c r="H23" s="242"/>
      <c r="I23" s="241"/>
      <c r="J23" s="90">
        <f>IF(AND(G23&lt;10, H21&lt;10), 'SEMESTRE N°1'!S11, IF(AND(G23&gt;=10, H21&gt;=10), G23, IF(AND(G23&gt;=10, H21&lt;10), G23, IF(AND(G23&lt;10, H21&gt;=10), G23, ""))))</f>
        <v>6</v>
      </c>
      <c r="K23" s="280"/>
      <c r="L23" s="238"/>
      <c r="M23" s="253"/>
    </row>
    <row r="24" spans="2:13" ht="15.6">
      <c r="B24" s="234"/>
      <c r="C24" s="243" t="s">
        <v>63</v>
      </c>
      <c r="D24" s="268" t="s">
        <v>64</v>
      </c>
      <c r="E24" s="118" t="s">
        <v>65</v>
      </c>
      <c r="F24" s="9">
        <v>4</v>
      </c>
      <c r="G24" s="92">
        <f>[1]BULL_N1!G24</f>
        <v>3.6999999999999997</v>
      </c>
      <c r="H24" s="241">
        <f>IF(AND(G24&gt;=7, G25&gt;=7), ROUND(((F24*G24) + (F25*G25)) / (F24 + F25), 2), 0)</f>
        <v>0</v>
      </c>
      <c r="I24" s="241">
        <f>IF(H24&gt;9.99,(F24+F25),0)</f>
        <v>0</v>
      </c>
      <c r="J24" s="90">
        <f>IF(AND(G24&lt;10, H24&lt;10), 'SEMESTRE N°1'!V11, IF(AND(G24&gt;=10, H24&gt;=10), G24, IF(AND(G24&gt;=10, H24&lt;10), G24, IF(AND(G24&lt;10, H24&gt;=10), G24, ""))))</f>
        <v>10</v>
      </c>
      <c r="K24" s="286">
        <f>IF(AND(J24&gt;=7, J25&gt;=7), ROUND(((F24*J24) + (F25*J25)) / (F24 + F25), 2), 0)</f>
        <v>10.43</v>
      </c>
      <c r="L24" s="286">
        <f>IF(K24&gt;9.99,(F24+F25),0)</f>
        <v>8</v>
      </c>
      <c r="M24" s="254" t="str">
        <f>IF(K24&gt;9.99,"Validé","Non validé")</f>
        <v>Validé</v>
      </c>
    </row>
    <row r="25" spans="2:13" ht="15" customHeight="1">
      <c r="B25" s="234"/>
      <c r="C25" s="243"/>
      <c r="D25" s="269"/>
      <c r="E25" s="118" t="s">
        <v>66</v>
      </c>
      <c r="F25" s="9">
        <v>4</v>
      </c>
      <c r="G25" s="92">
        <f>[1]BULL_N1!G25</f>
        <v>10.864000000000001</v>
      </c>
      <c r="H25" s="242"/>
      <c r="I25" s="241"/>
      <c r="J25" s="93">
        <f>IF(AND(G25&lt;10, H24&lt;10), 'SEMESTRE N°1'!Y11, IF(AND(G25&gt;=10, H24&gt;=10), G25, IF(AND(G25&gt;=10, H24&lt;10), G25, IF(AND(G25&lt;10, H24&gt;=10), G25, ""))))</f>
        <v>10.864000000000001</v>
      </c>
      <c r="K25" s="287"/>
      <c r="L25" s="287"/>
      <c r="M25" s="255"/>
    </row>
    <row r="26" spans="2:13" ht="15" customHeight="1">
      <c r="B26" s="234"/>
      <c r="C26" s="243" t="s">
        <v>67</v>
      </c>
      <c r="D26" s="268" t="s">
        <v>68</v>
      </c>
      <c r="E26" s="118" t="s">
        <v>69</v>
      </c>
      <c r="F26" s="9">
        <v>2</v>
      </c>
      <c r="G26" s="92">
        <f>[1]BULL_N1!G26</f>
        <v>12.600000000000001</v>
      </c>
      <c r="H26" s="241">
        <f>IF(AND(G26&gt;=7, G27&gt;=7), ROUND(((F26*G26) + (F27*G27)) / (F26 + F27), 2), 0)</f>
        <v>12.12</v>
      </c>
      <c r="I26" s="241">
        <f>IF(H26&gt;9.99,(F26+F27),0)</f>
        <v>5</v>
      </c>
      <c r="J26" s="93">
        <f>IF(AND(G26&lt;10, H26&lt;10), 'SEMESTRE N°1'!AB11, IF(AND(G26&gt;=10, H26&gt;=10), G26, IF(AND(G26&gt;=10, H26&lt;10), G26, IF(AND(G26&lt;10, H26&gt;=10), G26, ""))))</f>
        <v>12.600000000000001</v>
      </c>
      <c r="K26" s="231">
        <f>IF(AND(J26&gt;=7, J27&gt;=7), ROUND(((F26*J26) + (F27*J27)) / (F26 + F27), 2), 0)</f>
        <v>12.12</v>
      </c>
      <c r="L26" s="231">
        <f>IF(K26&gt;9.99,(F26+F27),0)</f>
        <v>5</v>
      </c>
      <c r="M26" s="254" t="str">
        <f>IF(K26&gt;9.99,"Validé","Non validé")</f>
        <v>Validé</v>
      </c>
    </row>
    <row r="27" spans="2:13" ht="23.25" customHeight="1">
      <c r="B27" s="234"/>
      <c r="C27" s="243"/>
      <c r="D27" s="269"/>
      <c r="E27" s="118" t="s">
        <v>70</v>
      </c>
      <c r="F27" s="9">
        <v>3</v>
      </c>
      <c r="G27" s="92">
        <f>[1]BULL_N1!G27</f>
        <v>11.8</v>
      </c>
      <c r="H27" s="242"/>
      <c r="I27" s="241"/>
      <c r="J27" s="93">
        <f>IF(AND(G27&lt;10, H26&lt;10), 'SEMESTRE N°1'!J11, IF(AND(G27&gt;=10, H26&gt;=10), G27, IF(AND(G27&gt;=10, H26&lt;10), G27, IF(AND(G27&lt;10, H26&gt;=10), G27, ""))))</f>
        <v>11.8</v>
      </c>
      <c r="K27" s="299"/>
      <c r="L27" s="232"/>
      <c r="M27" s="255"/>
    </row>
    <row r="28" spans="2:13" ht="18.75" customHeight="1">
      <c r="B28" s="234"/>
      <c r="C28" s="284" t="s">
        <v>71</v>
      </c>
      <c r="D28" s="285"/>
      <c r="E28" s="284"/>
      <c r="F28" s="19">
        <f>F19+F20+F21+F22+F23+F24+F25+F26+F27</f>
        <v>30</v>
      </c>
      <c r="G28" s="3"/>
      <c r="H28" s="117">
        <f>ROUND((H19+H21+H24+H26)/4,2)</f>
        <v>3.03</v>
      </c>
      <c r="I28" s="134">
        <f>I26+I24+I21+I19</f>
        <v>5</v>
      </c>
      <c r="J28" s="91"/>
      <c r="K28" s="106">
        <f>ROUND((K19+K21+K24+K26)/4,2)</f>
        <v>8.39</v>
      </c>
      <c r="L28" s="107">
        <f>SUM(L19:L27)</f>
        <v>19</v>
      </c>
      <c r="M28" s="88"/>
    </row>
    <row r="29" spans="2:13" ht="12.75" customHeight="1">
      <c r="C29" s="11"/>
      <c r="G29" s="11"/>
    </row>
    <row r="30" spans="2:13" ht="17.100000000000001" customHeight="1">
      <c r="B30" s="264" t="s">
        <v>72</v>
      </c>
      <c r="C30" s="265"/>
      <c r="D30" s="21">
        <f>L26+L24+L21+L19</f>
        <v>19</v>
      </c>
      <c r="E30" s="12"/>
      <c r="F30" s="13"/>
      <c r="G30" s="14"/>
      <c r="H30" s="15"/>
      <c r="I30" s="15"/>
      <c r="K30" s="275" t="s">
        <v>73</v>
      </c>
      <c r="L30" s="275"/>
      <c r="M30" s="275"/>
    </row>
    <row r="31" spans="2:13" ht="17.100000000000001" customHeight="1">
      <c r="B31" s="266" t="s">
        <v>74</v>
      </c>
      <c r="C31" s="267"/>
      <c r="D31" s="22" t="str">
        <f>IF(D30=F28,"Semestre validé","Semestre non validé")</f>
        <v>Semestre non validé</v>
      </c>
      <c r="E31" s="13"/>
      <c r="F31" s="13"/>
      <c r="G31" s="16"/>
      <c r="H31" s="36"/>
      <c r="I31" s="36"/>
      <c r="J31" s="36"/>
      <c r="K31" s="36"/>
      <c r="L31" s="36"/>
      <c r="M31" s="36"/>
    </row>
    <row r="32" spans="2:13" ht="17.100000000000001" customHeight="1">
      <c r="B32" s="266" t="s">
        <v>75</v>
      </c>
      <c r="C32" s="267"/>
      <c r="D32" s="1">
        <v>0</v>
      </c>
      <c r="E32" s="13"/>
      <c r="F32" s="13"/>
      <c r="G32" s="16"/>
      <c r="H32" s="13"/>
      <c r="I32" s="13"/>
      <c r="J32" s="13"/>
    </row>
    <row r="33" spans="1:13" ht="17.100000000000001" customHeight="1">
      <c r="B33" s="113"/>
      <c r="C33" s="113"/>
      <c r="D33" s="1"/>
      <c r="E33" s="13"/>
      <c r="F33" s="13"/>
      <c r="G33" s="16"/>
      <c r="H33" s="13"/>
      <c r="I33" s="13"/>
      <c r="J33" s="13"/>
    </row>
    <row r="34" spans="1:13" ht="17.100000000000001" customHeight="1">
      <c r="B34" s="113"/>
      <c r="C34" s="113"/>
      <c r="D34" s="1"/>
      <c r="E34" s="13"/>
      <c r="F34" s="13"/>
      <c r="G34" s="16"/>
      <c r="H34" s="13"/>
      <c r="I34" s="13"/>
      <c r="J34" s="13"/>
    </row>
    <row r="35" spans="1:13" ht="17.100000000000001" customHeight="1">
      <c r="G35" s="275" t="s">
        <v>76</v>
      </c>
      <c r="H35" s="275"/>
      <c r="I35" s="275"/>
      <c r="J35" s="275"/>
      <c r="K35" s="275"/>
      <c r="L35" s="275"/>
      <c r="M35" s="275"/>
    </row>
    <row r="36" spans="1:13" ht="17.100000000000001" customHeight="1">
      <c r="B36" s="289" t="s">
        <v>77</v>
      </c>
      <c r="C36" s="290"/>
      <c r="D36" s="290"/>
      <c r="E36" s="290"/>
      <c r="F36" s="290"/>
      <c r="G36" s="290"/>
      <c r="H36" s="290"/>
      <c r="I36" s="290"/>
      <c r="J36" s="290"/>
      <c r="K36" s="290"/>
      <c r="L36" s="290"/>
      <c r="M36" s="290"/>
    </row>
    <row r="37" spans="1:13" ht="17.100000000000001" customHeight="1"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</row>
    <row r="38" spans="1:13" ht="17.100000000000001" customHeight="1"/>
    <row r="40" spans="1:13" ht="13.5" customHeight="1"/>
    <row r="41" spans="1:13" hidden="1">
      <c r="A41" s="18" t="s">
        <v>78</v>
      </c>
    </row>
  </sheetData>
  <mergeCells count="58">
    <mergeCell ref="K30:M30"/>
    <mergeCell ref="I24:I25"/>
    <mergeCell ref="K24:K25"/>
    <mergeCell ref="B31:C31"/>
    <mergeCell ref="B32:C32"/>
    <mergeCell ref="L24:L25"/>
    <mergeCell ref="C24:C25"/>
    <mergeCell ref="D24:D25"/>
    <mergeCell ref="H24:H25"/>
    <mergeCell ref="G35:M35"/>
    <mergeCell ref="L26:L27"/>
    <mergeCell ref="C28:E28"/>
    <mergeCell ref="B30:C30"/>
    <mergeCell ref="C26:C27"/>
    <mergeCell ref="D26:D27"/>
    <mergeCell ref="H26:H27"/>
    <mergeCell ref="I26:I27"/>
    <mergeCell ref="K26:K27"/>
    <mergeCell ref="B17:B28"/>
    <mergeCell ref="F17:F18"/>
    <mergeCell ref="E17:E18"/>
    <mergeCell ref="H17:I17"/>
    <mergeCell ref="D19:D20"/>
    <mergeCell ref="I19:I20"/>
    <mergeCell ref="I21:I23"/>
    <mergeCell ref="C14:E14"/>
    <mergeCell ref="G14:L14"/>
    <mergeCell ref="B15:D16"/>
    <mergeCell ref="E15:F16"/>
    <mergeCell ref="G16:I16"/>
    <mergeCell ref="C11:E11"/>
    <mergeCell ref="G11:L11"/>
    <mergeCell ref="B12:C12"/>
    <mergeCell ref="D12:E12"/>
    <mergeCell ref="G12:L12"/>
    <mergeCell ref="K21:K23"/>
    <mergeCell ref="L19:L20"/>
    <mergeCell ref="C19:C20"/>
    <mergeCell ref="H19:H20"/>
    <mergeCell ref="J16:L16"/>
    <mergeCell ref="L21:L23"/>
    <mergeCell ref="C17:D18"/>
    <mergeCell ref="E5:M8"/>
    <mergeCell ref="M26:M27"/>
    <mergeCell ref="G15:M15"/>
    <mergeCell ref="B9:M9"/>
    <mergeCell ref="B36:M37"/>
    <mergeCell ref="M16:M18"/>
    <mergeCell ref="J17:L17"/>
    <mergeCell ref="M19:M20"/>
    <mergeCell ref="M21:M23"/>
    <mergeCell ref="M24:M25"/>
    <mergeCell ref="C21:C23"/>
    <mergeCell ref="D21:D23"/>
    <mergeCell ref="H21:H23"/>
    <mergeCell ref="C13:E13"/>
    <mergeCell ref="G13:L13"/>
    <mergeCell ref="K19:K20"/>
  </mergeCells>
  <pageMargins left="0" right="0" top="0" bottom="0" header="0" footer="0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CECAB-FBBB-49D1-99B6-5106C06A41C4}">
  <sheetPr codeName="Feuil4">
    <tabColor rgb="FF7030A0"/>
  </sheetPr>
  <dimension ref="A5:N41"/>
  <sheetViews>
    <sheetView showGridLines="0" view="pageLayout" topLeftCell="A12" zoomScale="90" zoomScaleNormal="110" zoomScaleSheetLayoutView="80" zoomScalePageLayoutView="90" workbookViewId="0">
      <selection activeCell="D30" sqref="D30"/>
    </sheetView>
  </sheetViews>
  <sheetFormatPr baseColWidth="10" defaultColWidth="10.88671875" defaultRowHeight="14.4"/>
  <cols>
    <col min="1" max="1" width="4.6640625" style="5" customWidth="1"/>
    <col min="2" max="2" width="10.88671875" style="5"/>
    <col min="3" max="3" width="9.5546875" style="5" customWidth="1"/>
    <col min="4" max="4" width="15.5546875" style="5" customWidth="1"/>
    <col min="5" max="5" width="30" style="5" customWidth="1"/>
    <col min="6" max="6" width="10.6640625" style="5" customWidth="1"/>
    <col min="7" max="9" width="7.6640625" style="5" customWidth="1"/>
    <col min="10" max="10" width="6.6640625" style="5" customWidth="1"/>
    <col min="11" max="11" width="7.33203125" style="5" customWidth="1"/>
    <col min="12" max="12" width="8.6640625" style="5" customWidth="1"/>
    <col min="13" max="13" width="12.5546875" style="5" customWidth="1"/>
    <col min="14" max="14" width="4.6640625" style="5" customWidth="1"/>
    <col min="15" max="16384" width="10.88671875" style="5"/>
  </cols>
  <sheetData>
    <row r="5" spans="1:14">
      <c r="E5" s="288" t="s">
        <v>162</v>
      </c>
      <c r="F5" s="229"/>
      <c r="G5" s="229"/>
      <c r="H5" s="229"/>
      <c r="I5" s="229"/>
      <c r="J5" s="229"/>
      <c r="K5" s="229"/>
      <c r="L5" s="229"/>
      <c r="M5" s="229"/>
    </row>
    <row r="6" spans="1:14">
      <c r="E6" s="229"/>
      <c r="F6" s="229"/>
      <c r="G6" s="229"/>
      <c r="H6" s="229"/>
      <c r="I6" s="229"/>
      <c r="J6" s="229"/>
      <c r="K6" s="229"/>
      <c r="L6" s="229"/>
      <c r="M6" s="229"/>
    </row>
    <row r="7" spans="1:14">
      <c r="E7" s="229"/>
      <c r="F7" s="229"/>
      <c r="G7" s="229"/>
      <c r="H7" s="229"/>
      <c r="I7" s="229"/>
      <c r="J7" s="229"/>
      <c r="K7" s="229"/>
      <c r="L7" s="229"/>
      <c r="M7" s="229"/>
    </row>
    <row r="8" spans="1:14">
      <c r="E8" s="230"/>
      <c r="F8" s="230"/>
      <c r="G8" s="230"/>
      <c r="H8" s="230"/>
      <c r="I8" s="230"/>
      <c r="J8" s="230"/>
      <c r="K8" s="230"/>
      <c r="L8" s="230"/>
      <c r="M8" s="230"/>
    </row>
    <row r="9" spans="1:14" ht="18" customHeight="1">
      <c r="A9" s="37"/>
      <c r="B9" s="239" t="s">
        <v>35</v>
      </c>
      <c r="C9" s="239"/>
      <c r="D9" s="239"/>
      <c r="E9" s="239"/>
      <c r="F9" s="239"/>
      <c r="G9" s="239"/>
      <c r="H9" s="239"/>
      <c r="I9" s="239"/>
      <c r="J9" s="239"/>
      <c r="K9" s="239"/>
      <c r="L9" s="239"/>
      <c r="M9" s="239"/>
      <c r="N9" s="37"/>
    </row>
    <row r="10" spans="1:14" ht="18" customHeight="1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1:14" ht="15" customHeight="1">
      <c r="B11" s="6" t="s">
        <v>36</v>
      </c>
      <c r="C11" s="291" t="str">
        <f>'SEMESTRE N°1'!A12</f>
        <v>BIVIGOU MOUANGA William</v>
      </c>
      <c r="D11" s="292"/>
      <c r="E11" s="292"/>
      <c r="F11" s="6" t="s">
        <v>37</v>
      </c>
      <c r="G11" s="297" t="str">
        <f>A41</f>
        <v>Licence Pro. Informatique-1ère année Tronc commun</v>
      </c>
      <c r="H11" s="297"/>
      <c r="I11" s="297"/>
      <c r="J11" s="297"/>
      <c r="K11" s="297"/>
      <c r="L11" s="297"/>
    </row>
    <row r="12" spans="1:14" ht="15" customHeight="1">
      <c r="B12" s="246" t="s">
        <v>38</v>
      </c>
      <c r="C12" s="246"/>
      <c r="D12" s="295">
        <f>'SEMESTRE N°1'!B10</f>
        <v>36964</v>
      </c>
      <c r="E12" s="294"/>
      <c r="F12" s="6" t="s">
        <v>29</v>
      </c>
      <c r="G12" s="294" t="str">
        <f>'SEMESTRE N°1'!E12</f>
        <v>TC-1</v>
      </c>
      <c r="H12" s="294"/>
      <c r="I12" s="294"/>
      <c r="J12" s="294"/>
      <c r="K12" s="294"/>
      <c r="L12" s="294"/>
    </row>
    <row r="13" spans="1:14" ht="15" customHeight="1">
      <c r="B13" s="6" t="s">
        <v>39</v>
      </c>
      <c r="C13" s="291" t="str">
        <f>'SEMESTRE N°1'!C12</f>
        <v>Gabonaise</v>
      </c>
      <c r="D13" s="292"/>
      <c r="E13" s="292"/>
      <c r="F13" s="6" t="s">
        <v>40</v>
      </c>
      <c r="G13" s="249"/>
      <c r="H13" s="249"/>
      <c r="I13" s="249"/>
      <c r="J13" s="249"/>
      <c r="K13" s="249"/>
      <c r="L13" s="249"/>
    </row>
    <row r="14" spans="1:14" ht="15" customHeight="1">
      <c r="B14" s="6" t="s">
        <v>41</v>
      </c>
      <c r="C14" s="305" t="str">
        <f>'SEMESTRE N°1'!D12</f>
        <v>032024</v>
      </c>
      <c r="D14" s="294"/>
      <c r="E14" s="306"/>
      <c r="F14" s="6" t="s">
        <v>42</v>
      </c>
      <c r="G14" s="249"/>
      <c r="H14" s="249"/>
      <c r="I14" s="249"/>
      <c r="J14" s="249"/>
      <c r="K14" s="249"/>
      <c r="L14" s="249"/>
    </row>
    <row r="15" spans="1:14">
      <c r="B15" s="281" t="s">
        <v>43</v>
      </c>
      <c r="C15" s="281"/>
      <c r="D15" s="281"/>
      <c r="E15" s="282" t="s">
        <v>17</v>
      </c>
      <c r="F15" s="283"/>
      <c r="G15" s="240" t="s">
        <v>44</v>
      </c>
      <c r="H15" s="240"/>
      <c r="I15" s="240"/>
      <c r="J15" s="240"/>
      <c r="K15" s="240"/>
      <c r="L15" s="240"/>
      <c r="M15" s="240"/>
    </row>
    <row r="16" spans="1:14">
      <c r="B16" s="281"/>
      <c r="C16" s="281"/>
      <c r="D16" s="281"/>
      <c r="E16" s="282"/>
      <c r="F16" s="283"/>
      <c r="G16" s="240" t="s">
        <v>83</v>
      </c>
      <c r="H16" s="240"/>
      <c r="I16" s="240"/>
      <c r="J16" s="256" t="s">
        <v>46</v>
      </c>
      <c r="K16" s="257"/>
      <c r="L16" s="257"/>
      <c r="M16" s="258" t="s">
        <v>47</v>
      </c>
    </row>
    <row r="17" spans="2:13" ht="15" customHeight="1">
      <c r="B17" s="233" t="s">
        <v>48</v>
      </c>
      <c r="C17" s="273" t="s">
        <v>49</v>
      </c>
      <c r="D17" s="273"/>
      <c r="E17" s="272" t="s">
        <v>49</v>
      </c>
      <c r="F17" s="272" t="s">
        <v>50</v>
      </c>
      <c r="G17" s="2" t="s">
        <v>51</v>
      </c>
      <c r="H17" s="272" t="s">
        <v>52</v>
      </c>
      <c r="I17" s="272"/>
      <c r="J17" s="261" t="s">
        <v>17</v>
      </c>
      <c r="K17" s="261"/>
      <c r="L17" s="262"/>
      <c r="M17" s="259"/>
    </row>
    <row r="18" spans="2:13">
      <c r="B18" s="234"/>
      <c r="C18" s="272"/>
      <c r="D18" s="274"/>
      <c r="E18" s="272"/>
      <c r="F18" s="272"/>
      <c r="G18" s="60" t="s">
        <v>53</v>
      </c>
      <c r="H18" s="60" t="s">
        <v>53</v>
      </c>
      <c r="I18" s="60" t="s">
        <v>50</v>
      </c>
      <c r="J18" s="87" t="s">
        <v>53</v>
      </c>
      <c r="K18" s="87" t="s">
        <v>53</v>
      </c>
      <c r="L18" s="89" t="s">
        <v>50</v>
      </c>
      <c r="M18" s="260"/>
    </row>
    <row r="19" spans="2:13" ht="15" customHeight="1">
      <c r="B19" s="234"/>
      <c r="C19" s="243" t="s">
        <v>54</v>
      </c>
      <c r="D19" s="268" t="s">
        <v>55</v>
      </c>
      <c r="E19" s="118" t="s">
        <v>56</v>
      </c>
      <c r="F19" s="9">
        <v>3</v>
      </c>
      <c r="G19" s="92">
        <f>[1]BULL_N2!G19</f>
        <v>7.2</v>
      </c>
      <c r="H19" s="241">
        <f>IF(AND(G19&gt;=7, G20&gt;=7), ROUND(((F19*G19) + (F20*G20)) / (F19 + F20), 2), 0)</f>
        <v>0</v>
      </c>
      <c r="I19" s="241">
        <f>IF(H19&gt;9.99,(F19+F20),0)</f>
        <v>0</v>
      </c>
      <c r="J19" s="170">
        <f>IF(AND(G19&lt;10, H19&lt;10), 'SEMESTRE N°1'!G12, IF(AND(G19&gt;=10, H19&gt;=10), G19, IF(AND(G19&gt;=10, H19&lt;10), G19, IF(AND(G19&lt;10, H19&gt;=10), G19, ""))))</f>
        <v>0</v>
      </c>
      <c r="K19" s="307">
        <f>IF(AND(J19&gt;=7, J20&gt;=7), ROUND(((F19*J19) + (F20*J20)) / (F19 + F20), 2), 0)</f>
        <v>0</v>
      </c>
      <c r="L19" s="307">
        <f>IF(K19&gt;9.99,(F19+F20),0)</f>
        <v>0</v>
      </c>
      <c r="M19" s="263" t="str">
        <f>IF(K19&gt;9.99,"Validé","Non validé")</f>
        <v>Non validé</v>
      </c>
    </row>
    <row r="20" spans="2:13" ht="15" customHeight="1">
      <c r="B20" s="234"/>
      <c r="C20" s="243"/>
      <c r="D20" s="269"/>
      <c r="E20" s="118" t="s">
        <v>57</v>
      </c>
      <c r="F20" s="9">
        <v>3</v>
      </c>
      <c r="G20" s="92">
        <f>[1]BULL_N2!G20</f>
        <v>6</v>
      </c>
      <c r="H20" s="242"/>
      <c r="I20" s="241"/>
      <c r="J20" s="170">
        <f>IF(AND(G20&lt;10, H19&lt;10), 'SEMESTRE N°1'!J12, IF(AND(G20&gt;=10, H19&gt;=10), G20, IF(AND(G20&gt;=10, H19&lt;10), G20, IF(AND(G20&lt;10, H19&gt;=10), G20, ""))))</f>
        <v>0</v>
      </c>
      <c r="K20" s="307"/>
      <c r="L20" s="307"/>
      <c r="M20" s="263"/>
    </row>
    <row r="21" spans="2:13" ht="15" customHeight="1">
      <c r="B21" s="234"/>
      <c r="C21" s="243" t="s">
        <v>58</v>
      </c>
      <c r="D21" s="268" t="s">
        <v>59</v>
      </c>
      <c r="E21" s="118" t="s">
        <v>60</v>
      </c>
      <c r="F21" s="9">
        <v>5</v>
      </c>
      <c r="G21" s="92">
        <f>[1]BULL_N2!G21</f>
        <v>11</v>
      </c>
      <c r="H21" s="241">
        <f>IF(AND(G21&gt;=7, G22&gt;=7, G23&gt;=7), ROUND(((F21*G21) + (F22*G22)+ (F23*G23)) / (F21 + F22+F23), 2), 0)</f>
        <v>0</v>
      </c>
      <c r="I21" s="241">
        <f>IF(H21&gt;9.99,(F21+F22+F23),0)</f>
        <v>0</v>
      </c>
      <c r="J21" s="171">
        <f>IF(AND(G21&lt;10, H21&lt;10), 'SEMESTRE N°1'!M12, IF(AND(G21&gt;=10, H21&gt;=10), G21, IF(AND(G21&gt;=10, H21&lt;10), G21, IF(AND(G21&lt;10, H21&gt;=10), G21, ""))))</f>
        <v>11</v>
      </c>
      <c r="K21" s="309">
        <f>IF(AND(J21&gt;=7, J22&gt;=7, J23&gt;=7), ROUND(((F21*J21) + (F22*J22)+ (F23*J23)) / (F21 + F22+F23), 2), 0)</f>
        <v>0</v>
      </c>
      <c r="L21" s="300">
        <f>IF(K21&gt;9.99,(F21+F22+F23),0)</f>
        <v>0</v>
      </c>
      <c r="M21" s="251" t="str">
        <f>IF(K21&gt;9.99,"Validé","Non validé")</f>
        <v>Non validé</v>
      </c>
    </row>
    <row r="22" spans="2:13" ht="15" customHeight="1">
      <c r="B22" s="234"/>
      <c r="C22" s="243"/>
      <c r="D22" s="279"/>
      <c r="E22" s="118" t="s">
        <v>61</v>
      </c>
      <c r="F22" s="9">
        <v>3</v>
      </c>
      <c r="G22" s="92">
        <f>[1]BULL_N2!G22</f>
        <v>9.9499999999999993</v>
      </c>
      <c r="H22" s="242"/>
      <c r="I22" s="241"/>
      <c r="J22" s="170">
        <f>IF(AND(G22&lt;10, H21&lt;10), 'SEMESTRE N°1'!P12, IF(AND(G22&gt;=10, H21&gt;=10), G22, IF(AND(G22&gt;=10, H21&lt;10), G22, IF(AND(G22&lt;10, H21&gt;=10), G22, ""))))</f>
        <v>0</v>
      </c>
      <c r="K22" s="309"/>
      <c r="L22" s="301"/>
      <c r="M22" s="252"/>
    </row>
    <row r="23" spans="2:13" ht="15" customHeight="1">
      <c r="B23" s="234"/>
      <c r="C23" s="243"/>
      <c r="D23" s="269"/>
      <c r="E23" s="118" t="s">
        <v>62</v>
      </c>
      <c r="F23" s="9">
        <v>3</v>
      </c>
      <c r="G23" s="92">
        <f>[1]BULL_N2!G23</f>
        <v>1.2000000000000002</v>
      </c>
      <c r="H23" s="242"/>
      <c r="I23" s="241"/>
      <c r="J23" s="170">
        <f>IF(AND(G23&lt;10, H21&lt;10), 'SEMESTRE N°1'!J12, IF(AND(G23&gt;=10, H21&gt;=10), G23, IF(AND(G23&gt;=10, H21&lt;10), G23, IF(AND(G23&lt;10, H21&gt;=10), G23, ""))))</f>
        <v>0</v>
      </c>
      <c r="K23" s="309"/>
      <c r="L23" s="302"/>
      <c r="M23" s="253"/>
    </row>
    <row r="24" spans="2:13" ht="15" customHeight="1">
      <c r="B24" s="234"/>
      <c r="C24" s="243" t="s">
        <v>63</v>
      </c>
      <c r="D24" s="268" t="s">
        <v>64</v>
      </c>
      <c r="E24" s="118" t="s">
        <v>65</v>
      </c>
      <c r="F24" s="9">
        <v>4</v>
      </c>
      <c r="G24" s="92">
        <f>[1]BULL_N2!G24</f>
        <v>3.5</v>
      </c>
      <c r="H24" s="241">
        <f>IF(AND(G24&gt;=7, G25&gt;=7), ROUND(((F24*G24) + (F25*G25)) / (F24 + F25), 2), 0)</f>
        <v>0</v>
      </c>
      <c r="I24" s="241">
        <f>IF(H24&gt;9.99,(F24+F25),0)</f>
        <v>0</v>
      </c>
      <c r="J24" s="170">
        <f>IF(AND(G24&lt;10, H24&lt;10), 'SEMESTRE N°1'!V12, IF(AND(G24&gt;=10, H24&gt;=10), G24, IF(AND(G24&gt;=10, H24&lt;10), G24, IF(AND(G24&lt;10, H24&gt;=10), G24, ""))))</f>
        <v>0</v>
      </c>
      <c r="K24" s="303">
        <f>IF(AND(J24&gt;=7, J25&gt;=7), ROUND(((F24*J24) + (F25*J25)) / (F24 + F25), 2), 0)</f>
        <v>0</v>
      </c>
      <c r="L24" s="303">
        <f>IF(K24&gt;9.99,(F24+F25),0)</f>
        <v>0</v>
      </c>
      <c r="M24" s="254" t="str">
        <f>IF(K24&gt;9.99,"Validé","Non validé")</f>
        <v>Non validé</v>
      </c>
    </row>
    <row r="25" spans="2:13" ht="15" customHeight="1">
      <c r="B25" s="234"/>
      <c r="C25" s="243"/>
      <c r="D25" s="269"/>
      <c r="E25" s="118" t="s">
        <v>66</v>
      </c>
      <c r="F25" s="9">
        <v>4</v>
      </c>
      <c r="G25" s="92">
        <f>[1]BULL_N2!G25</f>
        <v>12.8</v>
      </c>
      <c r="H25" s="242"/>
      <c r="I25" s="241"/>
      <c r="J25" s="171">
        <f>IF(AND(G25&lt;10, H24&lt;10), 'SEMESTRE N°1'!Y12, IF(AND(G25&gt;=10, H24&gt;=10), G25, IF(AND(G25&gt;=10, H24&lt;10), G25, IF(AND(G25&lt;10, H24&gt;=10), G25, ""))))</f>
        <v>12.8</v>
      </c>
      <c r="K25" s="304"/>
      <c r="L25" s="304"/>
      <c r="M25" s="255"/>
    </row>
    <row r="26" spans="2:13" ht="15" customHeight="1">
      <c r="B26" s="234"/>
      <c r="C26" s="243" t="s">
        <v>67</v>
      </c>
      <c r="D26" s="268" t="s">
        <v>68</v>
      </c>
      <c r="E26" s="118" t="s">
        <v>69</v>
      </c>
      <c r="F26" s="9">
        <v>2</v>
      </c>
      <c r="G26" s="92">
        <f>[1]BULL_N2!G26</f>
        <v>11.8</v>
      </c>
      <c r="H26" s="241">
        <f>IF(AND(G26&gt;=7, G27&gt;=7), ROUND(((F26*G26) + (F27*G27)) / (F26 + F27), 2), 0)</f>
        <v>11.14</v>
      </c>
      <c r="I26" s="241">
        <f>IF(H26&gt;9.99,(F26+F27),0)</f>
        <v>5</v>
      </c>
      <c r="J26" s="171">
        <f>IF(AND(G26&lt;10, H26&lt;10), 'SEMESTRE N°1'!AB12, IF(AND(G26&gt;=10, H26&gt;=10), G26, IF(AND(G26&gt;=10, H26&lt;10), G26, IF(AND(G26&lt;10, H26&gt;=10), G26, ""))))</f>
        <v>11.8</v>
      </c>
      <c r="K26" s="310">
        <f>IF(AND(J26&gt;=7, J27&gt;=7), ROUND(((F26*J26) + (F27*J27)) / (F26 + F27), 2), 0)</f>
        <v>11.14</v>
      </c>
      <c r="L26" s="310">
        <f>IF(K26&gt;9.99,(F26+F27),0)</f>
        <v>5</v>
      </c>
      <c r="M26" s="254" t="str">
        <f>IF(K26&gt;9.99,"Validé","Non validé")</f>
        <v>Validé</v>
      </c>
    </row>
    <row r="27" spans="2:13" ht="24" customHeight="1">
      <c r="B27" s="234"/>
      <c r="C27" s="243"/>
      <c r="D27" s="269"/>
      <c r="E27" s="118" t="s">
        <v>70</v>
      </c>
      <c r="F27" s="9">
        <v>3</v>
      </c>
      <c r="G27" s="92">
        <f>[1]BULL_N2!G27</f>
        <v>10.7</v>
      </c>
      <c r="H27" s="242"/>
      <c r="I27" s="241"/>
      <c r="J27" s="171">
        <f>IF(AND(G27&lt;10, H26&lt;10), 'SEMESTRE N°1'!J12, IF(AND(G27&gt;=10, H26&gt;=10), G27, IF(AND(G27&gt;=10, H26&lt;10), G27, IF(AND(G27&lt;10, H26&gt;=10), G27, ""))))</f>
        <v>10.7</v>
      </c>
      <c r="K27" s="312"/>
      <c r="L27" s="311"/>
      <c r="M27" s="255"/>
    </row>
    <row r="28" spans="2:13" ht="20.100000000000001" customHeight="1">
      <c r="B28" s="234"/>
      <c r="C28" s="284" t="s">
        <v>71</v>
      </c>
      <c r="D28" s="285"/>
      <c r="E28" s="284"/>
      <c r="F28" s="19">
        <f>F19+F20+F21+F22+F23+F24+F25+F26+F27</f>
        <v>30</v>
      </c>
      <c r="G28" s="3"/>
      <c r="H28" s="117">
        <f>ROUND((H19+H21+H24+H26)/4,2)</f>
        <v>2.79</v>
      </c>
      <c r="I28" s="110">
        <f>I26+I24+I21+I19</f>
        <v>5</v>
      </c>
      <c r="J28" s="172"/>
      <c r="K28" s="173">
        <f>ROUND((K19+K21+K24+K26)/4,2)</f>
        <v>2.79</v>
      </c>
      <c r="L28" s="174">
        <f>SUM(L19:L27)</f>
        <v>5</v>
      </c>
      <c r="M28" s="88"/>
    </row>
    <row r="29" spans="2:13" ht="17.100000000000001" customHeight="1">
      <c r="C29" s="11"/>
      <c r="G29" s="11"/>
    </row>
    <row r="30" spans="2:13" ht="17.100000000000001" customHeight="1">
      <c r="B30" s="264" t="s">
        <v>72</v>
      </c>
      <c r="C30" s="265"/>
      <c r="D30" s="21">
        <f>L28</f>
        <v>5</v>
      </c>
      <c r="E30" s="12"/>
      <c r="F30" s="13"/>
      <c r="G30" s="14"/>
      <c r="H30" s="15"/>
      <c r="I30" s="15"/>
      <c r="K30" s="38" t="s">
        <v>73</v>
      </c>
      <c r="L30" s="38"/>
    </row>
    <row r="31" spans="2:13" ht="17.100000000000001" customHeight="1">
      <c r="B31" s="266" t="s">
        <v>74</v>
      </c>
      <c r="C31" s="267"/>
      <c r="D31" s="22" t="str">
        <f>IF(D30=F28,"Semestre validé","Semestre non validé")</f>
        <v>Semestre non validé</v>
      </c>
      <c r="E31" s="13"/>
      <c r="F31" s="13"/>
      <c r="G31" s="16"/>
      <c r="H31" s="36"/>
      <c r="I31" s="36"/>
      <c r="J31" s="36"/>
      <c r="K31" s="36"/>
      <c r="L31" s="36"/>
      <c r="M31" s="36"/>
    </row>
    <row r="32" spans="2:13" ht="17.100000000000001" customHeight="1">
      <c r="B32" s="266" t="s">
        <v>75</v>
      </c>
      <c r="C32" s="267"/>
      <c r="D32" s="1">
        <v>0</v>
      </c>
      <c r="E32" s="13"/>
      <c r="F32" s="13"/>
      <c r="G32" s="16"/>
      <c r="H32" s="13"/>
      <c r="I32" s="13"/>
      <c r="J32" s="13"/>
    </row>
    <row r="33" spans="1:14" ht="17.100000000000001" customHeight="1">
      <c r="B33" s="59"/>
      <c r="C33" s="59"/>
      <c r="D33" s="1"/>
      <c r="E33" s="13"/>
      <c r="F33" s="13"/>
      <c r="G33" s="16"/>
      <c r="H33" s="13"/>
      <c r="I33" s="13"/>
      <c r="J33" s="13"/>
    </row>
    <row r="34" spans="1:14" ht="15.75" customHeight="1">
      <c r="B34" s="59"/>
      <c r="C34" s="59"/>
      <c r="D34" s="1"/>
      <c r="E34" s="13"/>
      <c r="F34" s="13"/>
      <c r="G34" s="16"/>
      <c r="H34" s="13"/>
      <c r="I34" s="13"/>
      <c r="J34" s="13"/>
    </row>
    <row r="35" spans="1:14" ht="17.100000000000001" customHeight="1">
      <c r="G35" s="275" t="s">
        <v>76</v>
      </c>
      <c r="H35" s="275"/>
      <c r="I35" s="275"/>
      <c r="J35" s="275"/>
      <c r="K35" s="275"/>
      <c r="L35" s="275"/>
      <c r="M35" s="275"/>
      <c r="N35" s="35"/>
    </row>
    <row r="36" spans="1:14" ht="17.100000000000001" customHeight="1">
      <c r="B36" s="308" t="s">
        <v>77</v>
      </c>
      <c r="C36" s="308"/>
      <c r="D36" s="308"/>
      <c r="E36" s="308"/>
      <c r="F36" s="308"/>
      <c r="G36" s="308"/>
      <c r="H36" s="308"/>
      <c r="I36" s="308"/>
      <c r="J36" s="308"/>
      <c r="K36" s="308"/>
      <c r="L36" s="308"/>
      <c r="M36" s="308"/>
    </row>
    <row r="37" spans="1:14" ht="11.25" customHeight="1">
      <c r="B37" s="308"/>
      <c r="C37" s="308"/>
      <c r="D37" s="308"/>
      <c r="E37" s="308"/>
      <c r="F37" s="308"/>
      <c r="G37" s="308"/>
      <c r="H37" s="308"/>
      <c r="I37" s="308"/>
      <c r="J37" s="308"/>
      <c r="K37" s="308"/>
      <c r="L37" s="308"/>
      <c r="M37" s="308"/>
    </row>
    <row r="38" spans="1:14" ht="12" customHeight="1"/>
    <row r="40" spans="1:14" ht="13.5" customHeight="1"/>
    <row r="41" spans="1:14" hidden="1">
      <c r="A41" s="18" t="s">
        <v>78</v>
      </c>
    </row>
  </sheetData>
  <mergeCells count="57">
    <mergeCell ref="B31:C31"/>
    <mergeCell ref="B32:C32"/>
    <mergeCell ref="L26:L27"/>
    <mergeCell ref="C28:E28"/>
    <mergeCell ref="B30:C30"/>
    <mergeCell ref="C26:C27"/>
    <mergeCell ref="D26:D27"/>
    <mergeCell ref="H26:H27"/>
    <mergeCell ref="I26:I27"/>
    <mergeCell ref="K26:K27"/>
    <mergeCell ref="B36:M37"/>
    <mergeCell ref="J16:L16"/>
    <mergeCell ref="M16:M18"/>
    <mergeCell ref="J17:L17"/>
    <mergeCell ref="M19:M20"/>
    <mergeCell ref="M21:M23"/>
    <mergeCell ref="K21:K23"/>
    <mergeCell ref="K19:K20"/>
    <mergeCell ref="B15:D16"/>
    <mergeCell ref="E15:F16"/>
    <mergeCell ref="C19:C20"/>
    <mergeCell ref="H19:H20"/>
    <mergeCell ref="L24:L25"/>
    <mergeCell ref="G16:I16"/>
    <mergeCell ref="B17:B28"/>
    <mergeCell ref="C17:D18"/>
    <mergeCell ref="G35:M35"/>
    <mergeCell ref="C11:E11"/>
    <mergeCell ref="G11:L11"/>
    <mergeCell ref="B12:C12"/>
    <mergeCell ref="D12:E12"/>
    <mergeCell ref="G12:L12"/>
    <mergeCell ref="C13:E13"/>
    <mergeCell ref="G13:L13"/>
    <mergeCell ref="C14:E14"/>
    <mergeCell ref="G14:L14"/>
    <mergeCell ref="E17:E18"/>
    <mergeCell ref="F17:F18"/>
    <mergeCell ref="H17:I17"/>
    <mergeCell ref="D19:D20"/>
    <mergeCell ref="I19:I20"/>
    <mergeCell ref="L19:L20"/>
    <mergeCell ref="E5:M8"/>
    <mergeCell ref="B9:M9"/>
    <mergeCell ref="M24:M25"/>
    <mergeCell ref="M26:M27"/>
    <mergeCell ref="G15:M15"/>
    <mergeCell ref="C21:C23"/>
    <mergeCell ref="D21:D23"/>
    <mergeCell ref="H21:H23"/>
    <mergeCell ref="I21:I23"/>
    <mergeCell ref="L21:L23"/>
    <mergeCell ref="C24:C25"/>
    <mergeCell ref="D24:D25"/>
    <mergeCell ref="H24:H25"/>
    <mergeCell ref="I24:I25"/>
    <mergeCell ref="K24:K25"/>
  </mergeCells>
  <pageMargins left="0" right="0" top="0" bottom="0" header="0" footer="0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1881F-0ED6-4367-BE25-8717DC8AABF2}">
  <sheetPr codeName="Feuil5">
    <tabColor rgb="FF7030A0"/>
  </sheetPr>
  <dimension ref="A5:M41"/>
  <sheetViews>
    <sheetView showGridLines="0" view="pageLayout" topLeftCell="A10" zoomScale="96" zoomScaleNormal="100" zoomScalePageLayoutView="96" workbookViewId="0">
      <selection activeCell="G30" sqref="G30"/>
    </sheetView>
  </sheetViews>
  <sheetFormatPr baseColWidth="10" defaultColWidth="10.88671875" defaultRowHeight="14.4"/>
  <cols>
    <col min="1" max="1" width="4.6640625" style="5" customWidth="1"/>
    <col min="2" max="2" width="10.88671875" style="5"/>
    <col min="3" max="3" width="9.5546875" style="5" customWidth="1"/>
    <col min="4" max="4" width="15.5546875" style="5" customWidth="1"/>
    <col min="5" max="5" width="29.6640625" style="5" customWidth="1"/>
    <col min="6" max="6" width="11.33203125" style="5" customWidth="1"/>
    <col min="7" max="7" width="7.6640625" style="5" customWidth="1"/>
    <col min="8" max="8" width="7.109375" style="5" customWidth="1"/>
    <col min="9" max="10" width="7.33203125" style="5" customWidth="1"/>
    <col min="11" max="11" width="8.44140625" style="5" customWidth="1"/>
    <col min="12" max="12" width="12.109375" style="5" bestFit="1" customWidth="1"/>
    <col min="13" max="13" width="10.6640625" style="5" customWidth="1"/>
    <col min="14" max="16384" width="10.88671875" style="5"/>
  </cols>
  <sheetData>
    <row r="5" spans="1:13">
      <c r="E5" s="288" t="s">
        <v>162</v>
      </c>
      <c r="F5" s="229"/>
      <c r="G5" s="229"/>
      <c r="H5" s="229"/>
      <c r="I5" s="229"/>
      <c r="J5" s="229"/>
      <c r="K5" s="229"/>
      <c r="L5" s="229"/>
      <c r="M5" s="229"/>
    </row>
    <row r="6" spans="1:13">
      <c r="E6" s="229"/>
      <c r="F6" s="229"/>
      <c r="G6" s="229"/>
      <c r="H6" s="229"/>
      <c r="I6" s="229"/>
      <c r="J6" s="229"/>
      <c r="K6" s="229"/>
      <c r="L6" s="229"/>
      <c r="M6" s="229"/>
    </row>
    <row r="7" spans="1:13">
      <c r="E7" s="229"/>
      <c r="F7" s="229"/>
      <c r="G7" s="229"/>
      <c r="H7" s="229"/>
      <c r="I7" s="229"/>
      <c r="J7" s="229"/>
      <c r="K7" s="229"/>
      <c r="L7" s="229"/>
      <c r="M7" s="229"/>
    </row>
    <row r="8" spans="1:13">
      <c r="E8" s="230"/>
      <c r="F8" s="230"/>
      <c r="G8" s="230"/>
      <c r="H8" s="230"/>
      <c r="I8" s="230"/>
      <c r="J8" s="230"/>
      <c r="K8" s="230"/>
      <c r="L8" s="230"/>
      <c r="M8" s="230"/>
    </row>
    <row r="9" spans="1:13" ht="18" customHeight="1">
      <c r="A9" s="37"/>
      <c r="B9" s="239" t="s">
        <v>35</v>
      </c>
      <c r="C9" s="239"/>
      <c r="D9" s="239"/>
      <c r="E9" s="239"/>
      <c r="F9" s="239"/>
      <c r="G9" s="239"/>
      <c r="H9" s="239"/>
      <c r="I9" s="239"/>
      <c r="J9" s="239"/>
      <c r="K9" s="239"/>
      <c r="L9" s="239"/>
      <c r="M9" s="239"/>
    </row>
    <row r="10" spans="1:13" ht="15" customHeight="1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1:13" ht="15" customHeight="1">
      <c r="B11" s="6" t="s">
        <v>36</v>
      </c>
      <c r="C11" s="291" t="str">
        <f>'SEMESTRE N°1'!A13</f>
        <v>BOUKINDA Jean Claude</v>
      </c>
      <c r="D11" s="292"/>
      <c r="E11" s="292"/>
      <c r="F11" s="6" t="s">
        <v>37</v>
      </c>
      <c r="G11" s="297" t="str">
        <f>A41</f>
        <v>Licence Pro. Informatique-1ère année Tronc commun</v>
      </c>
      <c r="H11" s="297"/>
      <c r="I11" s="297"/>
      <c r="J11" s="297"/>
      <c r="K11" s="297"/>
      <c r="L11" s="297"/>
    </row>
    <row r="12" spans="1:13" ht="15" customHeight="1">
      <c r="B12" s="246" t="s">
        <v>38</v>
      </c>
      <c r="C12" s="246"/>
      <c r="D12" s="295">
        <f>'SEMESTRE N°1'!B13</f>
        <v>34981</v>
      </c>
      <c r="E12" s="294"/>
      <c r="F12" s="6" t="s">
        <v>29</v>
      </c>
      <c r="G12" s="294" t="str">
        <f>'SEMESTRE N°1'!E12</f>
        <v>TC-1</v>
      </c>
      <c r="H12" s="294"/>
      <c r="I12" s="294"/>
      <c r="J12" s="294"/>
      <c r="K12" s="294"/>
      <c r="L12" s="294"/>
    </row>
    <row r="13" spans="1:13" ht="15" customHeight="1">
      <c r="B13" s="6" t="s">
        <v>39</v>
      </c>
      <c r="C13" s="291" t="str">
        <f>'SEMESTRE N°1'!C13</f>
        <v>Gabonaise</v>
      </c>
      <c r="D13" s="292"/>
      <c r="E13" s="292"/>
      <c r="F13" s="6" t="s">
        <v>40</v>
      </c>
      <c r="G13" s="249"/>
      <c r="H13" s="249"/>
      <c r="I13" s="249"/>
      <c r="J13" s="249"/>
      <c r="K13" s="249"/>
      <c r="L13" s="249"/>
    </row>
    <row r="14" spans="1:13" ht="15" customHeight="1">
      <c r="B14" s="6" t="s">
        <v>41</v>
      </c>
      <c r="C14" s="305" t="str">
        <f>'SEMESTRE N°1'!D13</f>
        <v>042024</v>
      </c>
      <c r="D14" s="294"/>
      <c r="E14" s="306"/>
      <c r="F14" s="6" t="s">
        <v>42</v>
      </c>
      <c r="G14" s="249"/>
      <c r="H14" s="249"/>
      <c r="I14" s="249"/>
      <c r="J14" s="249"/>
      <c r="K14" s="249"/>
      <c r="L14" s="249"/>
    </row>
    <row r="15" spans="1:13">
      <c r="B15" s="281" t="s">
        <v>43</v>
      </c>
      <c r="C15" s="281"/>
      <c r="D15" s="281"/>
      <c r="E15" s="282" t="s">
        <v>17</v>
      </c>
      <c r="F15" s="283"/>
      <c r="G15" s="240" t="s">
        <v>44</v>
      </c>
      <c r="H15" s="240"/>
      <c r="I15" s="240"/>
      <c r="J15" s="240"/>
      <c r="K15" s="240"/>
      <c r="L15" s="240"/>
      <c r="M15" s="240"/>
    </row>
    <row r="16" spans="1:13">
      <c r="B16" s="281"/>
      <c r="C16" s="281"/>
      <c r="D16" s="281"/>
      <c r="E16" s="282"/>
      <c r="F16" s="283"/>
      <c r="G16" s="240" t="s">
        <v>83</v>
      </c>
      <c r="H16" s="240"/>
      <c r="I16" s="240"/>
      <c r="J16" s="256" t="s">
        <v>46</v>
      </c>
      <c r="K16" s="257"/>
      <c r="L16" s="257"/>
      <c r="M16" s="258" t="s">
        <v>47</v>
      </c>
    </row>
    <row r="17" spans="2:13" ht="15" customHeight="1">
      <c r="B17" s="233" t="s">
        <v>48</v>
      </c>
      <c r="C17" s="273" t="s">
        <v>49</v>
      </c>
      <c r="D17" s="273"/>
      <c r="E17" s="272" t="s">
        <v>49</v>
      </c>
      <c r="F17" s="272" t="s">
        <v>50</v>
      </c>
      <c r="G17" s="2" t="s">
        <v>51</v>
      </c>
      <c r="H17" s="272" t="s">
        <v>52</v>
      </c>
      <c r="I17" s="272"/>
      <c r="J17" s="261" t="s">
        <v>17</v>
      </c>
      <c r="K17" s="261"/>
      <c r="L17" s="262"/>
      <c r="M17" s="259"/>
    </row>
    <row r="18" spans="2:13">
      <c r="B18" s="234"/>
      <c r="C18" s="272"/>
      <c r="D18" s="274"/>
      <c r="E18" s="272"/>
      <c r="F18" s="272"/>
      <c r="G18" s="60" t="s">
        <v>53</v>
      </c>
      <c r="H18" s="60" t="s">
        <v>53</v>
      </c>
      <c r="I18" s="60" t="s">
        <v>50</v>
      </c>
      <c r="J18" s="87" t="s">
        <v>53</v>
      </c>
      <c r="K18" s="87" t="s">
        <v>53</v>
      </c>
      <c r="L18" s="89" t="s">
        <v>50</v>
      </c>
      <c r="M18" s="260"/>
    </row>
    <row r="19" spans="2:13" ht="15" customHeight="1">
      <c r="B19" s="234"/>
      <c r="C19" s="243" t="s">
        <v>54</v>
      </c>
      <c r="D19" s="268" t="s">
        <v>55</v>
      </c>
      <c r="E19" s="118" t="s">
        <v>56</v>
      </c>
      <c r="F19" s="9">
        <v>3</v>
      </c>
      <c r="G19" s="103">
        <f>[1]BULL_N3!G19</f>
        <v>7.8000000000000007</v>
      </c>
      <c r="H19" s="315">
        <f>IF(AND(G19&gt;=7, G20&gt;=7), ROUND(((F19*G19) + (F20*G20)) / (F19 + F20), 2), 0)</f>
        <v>12.7</v>
      </c>
      <c r="I19" s="315">
        <f>IF(H19&gt;9.99,(F19+F20),0)</f>
        <v>6</v>
      </c>
      <c r="J19" s="90"/>
      <c r="K19" s="232"/>
      <c r="L19" s="235"/>
      <c r="M19" s="263" t="str">
        <f>IF(K19&gt;9.99,"Validé","Non validé")</f>
        <v>Non validé</v>
      </c>
    </row>
    <row r="20" spans="2:13" ht="16.5" customHeight="1">
      <c r="B20" s="234"/>
      <c r="C20" s="243"/>
      <c r="D20" s="269"/>
      <c r="E20" s="118" t="s">
        <v>57</v>
      </c>
      <c r="F20" s="9">
        <v>3</v>
      </c>
      <c r="G20" s="103">
        <f>[1]BULL_N3!G20</f>
        <v>17.600000000000001</v>
      </c>
      <c r="H20" s="315"/>
      <c r="I20" s="315"/>
      <c r="J20" s="90"/>
      <c r="K20" s="232"/>
      <c r="L20" s="235"/>
      <c r="M20" s="263"/>
    </row>
    <row r="21" spans="2:13" ht="18" customHeight="1">
      <c r="B21" s="234"/>
      <c r="C21" s="243" t="s">
        <v>58</v>
      </c>
      <c r="D21" s="268" t="s">
        <v>59</v>
      </c>
      <c r="E21" s="118" t="s">
        <v>169</v>
      </c>
      <c r="F21" s="9">
        <v>5</v>
      </c>
      <c r="G21" s="103">
        <f>[1]BULL_N3!G21</f>
        <v>13</v>
      </c>
      <c r="H21" s="315">
        <f>IF(AND(G21&gt;=7, G22&gt;=7, G23&gt;=7), ROUND(((F21*G21) + (F22*G22)+ (F23*G23)) / (F21 + F22+F23), 2), 0)</f>
        <v>12.88</v>
      </c>
      <c r="I21" s="315">
        <f>IF(H21&gt;9.99,(F21+F22+F23),0)</f>
        <v>11</v>
      </c>
      <c r="J21" s="90"/>
      <c r="K21" s="280"/>
      <c r="L21" s="236"/>
      <c r="M21" s="251" t="str">
        <f>IF(K21&gt;9.99,"Validé","Non validé")</f>
        <v>Non validé</v>
      </c>
    </row>
    <row r="22" spans="2:13" ht="17.25" customHeight="1">
      <c r="B22" s="234"/>
      <c r="C22" s="243"/>
      <c r="D22" s="279"/>
      <c r="E22" s="118" t="s">
        <v>61</v>
      </c>
      <c r="F22" s="9">
        <v>3</v>
      </c>
      <c r="G22" s="103">
        <f>[1]BULL_N3!G22</f>
        <v>17.52</v>
      </c>
      <c r="H22" s="315"/>
      <c r="I22" s="315"/>
      <c r="J22" s="90"/>
      <c r="K22" s="280"/>
      <c r="L22" s="237"/>
      <c r="M22" s="252"/>
    </row>
    <row r="23" spans="2:13" ht="19.5" customHeight="1">
      <c r="B23" s="234"/>
      <c r="C23" s="243"/>
      <c r="D23" s="269"/>
      <c r="E23" s="118" t="s">
        <v>62</v>
      </c>
      <c r="F23" s="9">
        <v>3</v>
      </c>
      <c r="G23" s="103">
        <f>[1]BULL_N3!G23</f>
        <v>8.0500000000000007</v>
      </c>
      <c r="H23" s="315"/>
      <c r="I23" s="315"/>
      <c r="J23" s="90"/>
      <c r="K23" s="280"/>
      <c r="L23" s="238"/>
      <c r="M23" s="253"/>
    </row>
    <row r="24" spans="2:13" ht="15" customHeight="1">
      <c r="B24" s="234"/>
      <c r="C24" s="243" t="s">
        <v>63</v>
      </c>
      <c r="D24" s="268" t="s">
        <v>64</v>
      </c>
      <c r="E24" s="118" t="s">
        <v>65</v>
      </c>
      <c r="F24" s="9">
        <v>4</v>
      </c>
      <c r="G24" s="103">
        <f>[1]BULL_N3!G24</f>
        <v>11</v>
      </c>
      <c r="H24" s="315">
        <f>IF(AND(G24&gt;=7, G25&gt;=7), ROUND(((F24*G24) + (F25*G25)) / (F24 + F25), 2), 0)</f>
        <v>13.13</v>
      </c>
      <c r="I24" s="315">
        <f>IF(H24&gt;9.99,(F24+F25),0)</f>
        <v>8</v>
      </c>
      <c r="J24" s="90"/>
      <c r="K24" s="286"/>
      <c r="L24" s="286"/>
      <c r="M24" s="254" t="str">
        <f>IF(K24&gt;9.99,"Validé","Non validé")</f>
        <v>Non validé</v>
      </c>
    </row>
    <row r="25" spans="2:13" ht="18.75" customHeight="1">
      <c r="B25" s="234"/>
      <c r="C25" s="243"/>
      <c r="D25" s="269"/>
      <c r="E25" s="118" t="s">
        <v>66</v>
      </c>
      <c r="F25" s="9">
        <v>4</v>
      </c>
      <c r="G25" s="103">
        <f>[1]BULL_N3!G25</f>
        <v>15.263999999999999</v>
      </c>
      <c r="H25" s="315"/>
      <c r="I25" s="315"/>
      <c r="J25" s="90"/>
      <c r="K25" s="287"/>
      <c r="L25" s="287"/>
      <c r="M25" s="255"/>
    </row>
    <row r="26" spans="2:13" ht="15" customHeight="1">
      <c r="B26" s="234"/>
      <c r="C26" s="243" t="s">
        <v>67</v>
      </c>
      <c r="D26" s="268" t="s">
        <v>68</v>
      </c>
      <c r="E26" s="118" t="s">
        <v>69</v>
      </c>
      <c r="F26" s="9">
        <v>2</v>
      </c>
      <c r="G26" s="103">
        <f>[1]BULL_N3!G26</f>
        <v>17.2</v>
      </c>
      <c r="H26" s="315">
        <f>IF(AND(G26&gt;=7, G27&gt;=7), ROUND(((F26*G26) + (F27*G27)) / (F26 + F27), 2), 0)</f>
        <v>16.93</v>
      </c>
      <c r="I26" s="315">
        <f>IF(H26&gt;9.99,(F26+F27),0)</f>
        <v>5</v>
      </c>
      <c r="J26" s="93"/>
      <c r="K26" s="231"/>
      <c r="L26" s="231"/>
      <c r="M26" s="254" t="str">
        <f>IF(K26&gt;9.99,"Validé","Non validé")</f>
        <v>Non validé</v>
      </c>
    </row>
    <row r="27" spans="2:13" ht="24" customHeight="1">
      <c r="B27" s="234"/>
      <c r="C27" s="243"/>
      <c r="D27" s="269"/>
      <c r="E27" s="118" t="s">
        <v>70</v>
      </c>
      <c r="F27" s="9">
        <v>3</v>
      </c>
      <c r="G27" s="103">
        <f>[1]BULL_N3!G27</f>
        <v>16.744</v>
      </c>
      <c r="H27" s="315"/>
      <c r="I27" s="315"/>
      <c r="J27" s="93"/>
      <c r="K27" s="299"/>
      <c r="L27" s="232"/>
      <c r="M27" s="255"/>
    </row>
    <row r="28" spans="2:13" ht="20.100000000000001" customHeight="1">
      <c r="B28" s="234"/>
      <c r="C28" s="284" t="s">
        <v>71</v>
      </c>
      <c r="D28" s="285"/>
      <c r="E28" s="284"/>
      <c r="F28" s="19">
        <f>F19+F20+F21+F22+F23+F24+F25+F26+F27</f>
        <v>30</v>
      </c>
      <c r="G28" s="179"/>
      <c r="H28" s="164">
        <f>ROUND((H19+H21+H24+H26)/4,2)</f>
        <v>13.91</v>
      </c>
      <c r="I28" s="180">
        <f>I26+I24+I21+I19</f>
        <v>30</v>
      </c>
      <c r="J28" s="313"/>
      <c r="K28" s="313"/>
      <c r="L28" s="313"/>
      <c r="M28" s="314"/>
    </row>
    <row r="29" spans="2:13" ht="17.100000000000001" customHeight="1">
      <c r="C29" s="11"/>
      <c r="G29" s="11"/>
    </row>
    <row r="30" spans="2:13" ht="17.100000000000001" customHeight="1">
      <c r="B30" s="266" t="s">
        <v>72</v>
      </c>
      <c r="C30" s="267"/>
      <c r="D30" s="21">
        <f>I28</f>
        <v>30</v>
      </c>
      <c r="E30" s="12"/>
      <c r="F30" s="13"/>
      <c r="G30" s="14"/>
      <c r="H30" s="15"/>
      <c r="I30" s="15"/>
      <c r="J30" s="275" t="s">
        <v>73</v>
      </c>
      <c r="K30" s="275"/>
      <c r="L30" s="275"/>
      <c r="M30" s="275"/>
    </row>
    <row r="31" spans="2:13" ht="17.100000000000001" customHeight="1">
      <c r="B31" s="266" t="s">
        <v>74</v>
      </c>
      <c r="C31" s="267"/>
      <c r="D31" s="22" t="str">
        <f>IF(D30=F28,"Semestre validé","Semestre non validé")</f>
        <v>Semestre validé</v>
      </c>
      <c r="E31" s="13"/>
      <c r="F31" s="13"/>
      <c r="G31" s="16"/>
      <c r="H31" s="36"/>
      <c r="I31" s="36"/>
      <c r="J31" s="36"/>
      <c r="K31" s="36"/>
      <c r="L31" s="36"/>
      <c r="M31" s="36"/>
    </row>
    <row r="32" spans="2:13" ht="17.100000000000001" customHeight="1">
      <c r="B32" s="266" t="s">
        <v>75</v>
      </c>
      <c r="C32" s="267"/>
      <c r="D32" s="1">
        <v>0</v>
      </c>
      <c r="E32" s="13"/>
      <c r="F32" s="13"/>
      <c r="G32" s="16"/>
      <c r="H32" s="13"/>
      <c r="I32" s="13"/>
      <c r="J32" s="13"/>
    </row>
    <row r="33" spans="1:13" ht="12.75" customHeight="1">
      <c r="B33" s="113"/>
      <c r="C33" s="113"/>
      <c r="D33" s="1"/>
      <c r="E33" s="13"/>
      <c r="F33" s="13"/>
      <c r="G33" s="16"/>
      <c r="H33" s="13"/>
      <c r="I33" s="13"/>
      <c r="J33" s="13"/>
    </row>
    <row r="34" spans="1:13" ht="10.5" customHeight="1">
      <c r="B34" s="59"/>
      <c r="C34" s="59"/>
      <c r="D34" s="1"/>
      <c r="E34" s="13"/>
      <c r="F34" s="13"/>
      <c r="G34" s="16"/>
      <c r="H34" s="13"/>
      <c r="I34" s="13"/>
      <c r="J34" s="13"/>
    </row>
    <row r="35" spans="1:13" ht="17.100000000000001" customHeight="1">
      <c r="G35" s="275" t="s">
        <v>76</v>
      </c>
      <c r="H35" s="275"/>
      <c r="I35" s="275"/>
      <c r="J35" s="275"/>
      <c r="K35" s="275"/>
      <c r="L35" s="275"/>
      <c r="M35" s="275"/>
    </row>
    <row r="36" spans="1:13" ht="17.100000000000001" customHeight="1">
      <c r="B36" s="308" t="s">
        <v>77</v>
      </c>
      <c r="C36" s="308"/>
      <c r="D36" s="308"/>
      <c r="E36" s="308"/>
      <c r="F36" s="308"/>
      <c r="G36" s="308"/>
      <c r="H36" s="308"/>
      <c r="I36" s="308"/>
      <c r="J36" s="308"/>
      <c r="K36" s="308"/>
      <c r="L36" s="308"/>
      <c r="M36" s="308"/>
    </row>
    <row r="37" spans="1:13" ht="11.25" customHeight="1">
      <c r="B37" s="308"/>
      <c r="C37" s="308"/>
      <c r="D37" s="308"/>
      <c r="E37" s="308"/>
      <c r="F37" s="308"/>
      <c r="G37" s="308"/>
      <c r="H37" s="308"/>
      <c r="I37" s="308"/>
      <c r="J37" s="308"/>
      <c r="K37" s="308"/>
      <c r="L37" s="308"/>
      <c r="M37" s="308"/>
    </row>
    <row r="38" spans="1:13" ht="12" customHeight="1"/>
    <row r="40" spans="1:13" ht="13.5" customHeight="1"/>
    <row r="41" spans="1:13" hidden="1">
      <c r="A41" s="18" t="s">
        <v>78</v>
      </c>
    </row>
  </sheetData>
  <mergeCells count="59">
    <mergeCell ref="B17:B28"/>
    <mergeCell ref="D26:D27"/>
    <mergeCell ref="C26:C27"/>
    <mergeCell ref="C13:E13"/>
    <mergeCell ref="G13:L13"/>
    <mergeCell ref="C14:E14"/>
    <mergeCell ref="G14:L14"/>
    <mergeCell ref="B15:D16"/>
    <mergeCell ref="E15:F16"/>
    <mergeCell ref="G16:I16"/>
    <mergeCell ref="C21:C23"/>
    <mergeCell ref="D19:D20"/>
    <mergeCell ref="D21:D23"/>
    <mergeCell ref="H21:H23"/>
    <mergeCell ref="I21:I23"/>
    <mergeCell ref="C28:E28"/>
    <mergeCell ref="C11:E11"/>
    <mergeCell ref="G11:L11"/>
    <mergeCell ref="B12:C12"/>
    <mergeCell ref="D12:E12"/>
    <mergeCell ref="G12:L12"/>
    <mergeCell ref="L19:L20"/>
    <mergeCell ref="K21:K23"/>
    <mergeCell ref="L21:L23"/>
    <mergeCell ref="H17:I17"/>
    <mergeCell ref="I19:I20"/>
    <mergeCell ref="J17:L17"/>
    <mergeCell ref="L24:L25"/>
    <mergeCell ref="B36:M37"/>
    <mergeCell ref="J16:L16"/>
    <mergeCell ref="M16:M18"/>
    <mergeCell ref="M19:M20"/>
    <mergeCell ref="M21:M23"/>
    <mergeCell ref="H26:H27"/>
    <mergeCell ref="I26:I27"/>
    <mergeCell ref="K26:K27"/>
    <mergeCell ref="L26:L27"/>
    <mergeCell ref="B32:C32"/>
    <mergeCell ref="B31:C31"/>
    <mergeCell ref="B30:C30"/>
    <mergeCell ref="K19:K20"/>
    <mergeCell ref="C19:C20"/>
    <mergeCell ref="H19:H20"/>
    <mergeCell ref="J28:M28"/>
    <mergeCell ref="E5:M8"/>
    <mergeCell ref="J30:M30"/>
    <mergeCell ref="G35:M35"/>
    <mergeCell ref="M24:M25"/>
    <mergeCell ref="M26:M27"/>
    <mergeCell ref="G15:M15"/>
    <mergeCell ref="B9:M9"/>
    <mergeCell ref="C17:D18"/>
    <mergeCell ref="E17:E18"/>
    <mergeCell ref="F17:F18"/>
    <mergeCell ref="C24:C25"/>
    <mergeCell ref="D24:D25"/>
    <mergeCell ref="H24:H25"/>
    <mergeCell ref="I24:I25"/>
    <mergeCell ref="K24:K25"/>
  </mergeCells>
  <pageMargins left="0" right="0" top="0" bottom="0" header="0" footer="0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9125-4EA7-4124-953B-D1C06C60D7E2}">
  <sheetPr codeName="Feuil6">
    <tabColor rgb="FF7030A0"/>
  </sheetPr>
  <dimension ref="A5:M43"/>
  <sheetViews>
    <sheetView showGridLines="0" view="pageLayout" topLeftCell="A6" zoomScale="90" zoomScaleNormal="100" zoomScalePageLayoutView="90" workbookViewId="0">
      <selection activeCell="J23" sqref="J23"/>
    </sheetView>
  </sheetViews>
  <sheetFormatPr baseColWidth="10" defaultColWidth="10.88671875" defaultRowHeight="14.4"/>
  <cols>
    <col min="1" max="1" width="4.6640625" style="5" customWidth="1"/>
    <col min="2" max="2" width="10.88671875" style="5"/>
    <col min="3" max="3" width="9.6640625" style="5" customWidth="1"/>
    <col min="4" max="4" width="15.5546875" style="5" customWidth="1"/>
    <col min="5" max="5" width="30.6640625" style="5" customWidth="1"/>
    <col min="6" max="6" width="10.6640625" style="5" customWidth="1"/>
    <col min="7" max="7" width="7.6640625" style="5" customWidth="1"/>
    <col min="8" max="8" width="7.88671875" style="5" customWidth="1"/>
    <col min="9" max="9" width="8" style="5" customWidth="1"/>
    <col min="10" max="12" width="8.6640625" style="5" customWidth="1"/>
    <col min="13" max="13" width="12.6640625" style="5" customWidth="1"/>
    <col min="14" max="16384" width="10.88671875" style="5"/>
  </cols>
  <sheetData>
    <row r="5" spans="1:13">
      <c r="E5" s="288" t="s">
        <v>162</v>
      </c>
      <c r="F5" s="229"/>
      <c r="G5" s="229"/>
      <c r="H5" s="229"/>
      <c r="I5" s="229"/>
      <c r="J5" s="229"/>
      <c r="K5" s="229"/>
      <c r="L5" s="229"/>
      <c r="M5" s="229"/>
    </row>
    <row r="6" spans="1:13">
      <c r="E6" s="229"/>
      <c r="F6" s="229"/>
      <c r="G6" s="229"/>
      <c r="H6" s="229"/>
      <c r="I6" s="229"/>
      <c r="J6" s="229"/>
      <c r="K6" s="229"/>
      <c r="L6" s="229"/>
      <c r="M6" s="229"/>
    </row>
    <row r="7" spans="1:13">
      <c r="E7" s="229"/>
      <c r="F7" s="229"/>
      <c r="G7" s="229"/>
      <c r="H7" s="229"/>
      <c r="I7" s="229"/>
      <c r="J7" s="229"/>
      <c r="K7" s="229"/>
      <c r="L7" s="229"/>
      <c r="M7" s="229"/>
    </row>
    <row r="8" spans="1:13">
      <c r="E8" s="230"/>
      <c r="F8" s="230"/>
      <c r="G8" s="230"/>
      <c r="H8" s="230"/>
      <c r="I8" s="230"/>
      <c r="J8" s="230"/>
      <c r="K8" s="230"/>
      <c r="L8" s="230"/>
      <c r="M8" s="230"/>
    </row>
    <row r="9" spans="1:13" ht="18" customHeight="1">
      <c r="A9" s="37"/>
      <c r="B9" s="316" t="s">
        <v>35</v>
      </c>
      <c r="C9" s="317"/>
      <c r="D9" s="317"/>
      <c r="E9" s="317"/>
      <c r="F9" s="317"/>
      <c r="G9" s="317"/>
      <c r="H9" s="317"/>
      <c r="I9" s="317"/>
      <c r="J9" s="317"/>
      <c r="K9" s="317"/>
      <c r="L9" s="317"/>
      <c r="M9" s="318"/>
    </row>
    <row r="10" spans="1:13" ht="12.75" customHeight="1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1:13" ht="14.4" customHeight="1">
      <c r="B11" s="6" t="s">
        <v>36</v>
      </c>
      <c r="C11" s="291" t="str">
        <f>'SEMESTRE N°1'!A14</f>
        <v>DIBA WA DIBA Beni seth</v>
      </c>
      <c r="D11" s="292"/>
      <c r="E11" s="292"/>
      <c r="F11" s="6" t="s">
        <v>37</v>
      </c>
      <c r="G11" s="294" t="str">
        <f>A43</f>
        <v>Licence Pro. Informatique-1ère année Tronc commun</v>
      </c>
      <c r="H11" s="294"/>
      <c r="I11" s="294"/>
      <c r="J11" s="294"/>
      <c r="K11" s="294"/>
      <c r="L11" s="294"/>
    </row>
    <row r="12" spans="1:13" ht="14.4" customHeight="1">
      <c r="B12" s="246" t="s">
        <v>38</v>
      </c>
      <c r="C12" s="246"/>
      <c r="D12" s="295">
        <f>'SEMESTRE N°1'!B14</f>
        <v>39292</v>
      </c>
      <c r="E12" s="294"/>
      <c r="F12" s="6" t="s">
        <v>29</v>
      </c>
      <c r="G12" s="294" t="str">
        <f>'SEMESTRE N°1'!E14</f>
        <v>TC-1</v>
      </c>
      <c r="H12" s="294"/>
      <c r="I12" s="294"/>
      <c r="J12" s="294"/>
      <c r="K12" s="294"/>
      <c r="L12" s="294"/>
    </row>
    <row r="13" spans="1:13">
      <c r="B13" s="6" t="s">
        <v>39</v>
      </c>
      <c r="C13" s="291" t="str">
        <f>'SEMESTRE N°1'!C14</f>
        <v>Gabonaise</v>
      </c>
      <c r="D13" s="292"/>
      <c r="E13" s="292"/>
      <c r="F13" s="6" t="s">
        <v>40</v>
      </c>
      <c r="G13" s="249"/>
      <c r="H13" s="249"/>
      <c r="I13" s="249"/>
      <c r="J13" s="249"/>
      <c r="K13" s="249"/>
      <c r="L13" s="249"/>
    </row>
    <row r="14" spans="1:13">
      <c r="B14" s="6" t="s">
        <v>41</v>
      </c>
      <c r="C14" s="305" t="str">
        <f>'SEMESTRE N°1'!D14</f>
        <v>052024</v>
      </c>
      <c r="D14" s="294"/>
      <c r="E14" s="306"/>
      <c r="F14" s="6" t="s">
        <v>42</v>
      </c>
      <c r="G14" s="249"/>
      <c r="H14" s="249"/>
      <c r="I14" s="249"/>
      <c r="J14" s="249"/>
      <c r="K14" s="249"/>
      <c r="L14" s="249"/>
    </row>
    <row r="15" spans="1:13">
      <c r="B15" s="281" t="s">
        <v>43</v>
      </c>
      <c r="C15" s="281"/>
      <c r="D15" s="281"/>
      <c r="E15" s="282" t="s">
        <v>17</v>
      </c>
      <c r="F15" s="283"/>
      <c r="G15" s="240" t="s">
        <v>44</v>
      </c>
      <c r="H15" s="240"/>
      <c r="I15" s="240"/>
      <c r="J15" s="240"/>
      <c r="K15" s="240"/>
      <c r="L15" s="240"/>
      <c r="M15" s="240"/>
    </row>
    <row r="16" spans="1:13">
      <c r="B16" s="281"/>
      <c r="C16" s="281"/>
      <c r="D16" s="281"/>
      <c r="E16" s="282"/>
      <c r="F16" s="283"/>
      <c r="G16" s="240" t="s">
        <v>83</v>
      </c>
      <c r="H16" s="240"/>
      <c r="I16" s="240"/>
      <c r="J16" s="256" t="s">
        <v>46</v>
      </c>
      <c r="K16" s="257"/>
      <c r="L16" s="257"/>
      <c r="M16" s="258" t="s">
        <v>47</v>
      </c>
    </row>
    <row r="17" spans="2:13" ht="15" customHeight="1">
      <c r="B17" s="233" t="s">
        <v>48</v>
      </c>
      <c r="C17" s="273" t="s">
        <v>49</v>
      </c>
      <c r="D17" s="273"/>
      <c r="E17" s="272" t="s">
        <v>49</v>
      </c>
      <c r="F17" s="272" t="s">
        <v>50</v>
      </c>
      <c r="G17" s="2" t="s">
        <v>51</v>
      </c>
      <c r="H17" s="272" t="s">
        <v>52</v>
      </c>
      <c r="I17" s="272"/>
      <c r="J17" s="261" t="s">
        <v>17</v>
      </c>
      <c r="K17" s="261"/>
      <c r="L17" s="262"/>
      <c r="M17" s="259"/>
    </row>
    <row r="18" spans="2:13">
      <c r="B18" s="234"/>
      <c r="C18" s="272"/>
      <c r="D18" s="274"/>
      <c r="E18" s="272"/>
      <c r="F18" s="272"/>
      <c r="G18" s="60" t="s">
        <v>53</v>
      </c>
      <c r="H18" s="60" t="s">
        <v>53</v>
      </c>
      <c r="I18" s="60" t="s">
        <v>50</v>
      </c>
      <c r="J18" s="87" t="s">
        <v>53</v>
      </c>
      <c r="K18" s="87" t="s">
        <v>53</v>
      </c>
      <c r="L18" s="89" t="s">
        <v>50</v>
      </c>
      <c r="M18" s="260"/>
    </row>
    <row r="19" spans="2:13" ht="15" customHeight="1">
      <c r="B19" s="234"/>
      <c r="C19" s="243" t="s">
        <v>54</v>
      </c>
      <c r="D19" s="268" t="s">
        <v>55</v>
      </c>
      <c r="E19" s="118" t="s">
        <v>56</v>
      </c>
      <c r="F19" s="9">
        <v>3</v>
      </c>
      <c r="G19" s="92">
        <f>[1]BULL_N4!G19</f>
        <v>4.5999999999999996</v>
      </c>
      <c r="H19" s="241">
        <f>IF(AND(G19&gt;=7, G20&gt;=7), ROUND(((F19*G19) + (F20*G20)) / (F19 + F20), 2), 0)</f>
        <v>0</v>
      </c>
      <c r="I19" s="241">
        <f>IF(H19&gt;9.99,(F19+F20),0)</f>
        <v>0</v>
      </c>
      <c r="J19" s="90">
        <f>IF(AND(G19&lt;10, H19&lt;10), 'SEMESTRE N°1'!G14, IF(AND(G19&gt;=10, H19&gt;=10), G19, IF(AND(G19&gt;=10, H19&lt;10), G19, IF(AND(G19&lt;10, H19&gt;=10), G19, ""))))</f>
        <v>10</v>
      </c>
      <c r="K19" s="235">
        <f>IF(AND(J19&gt;=7, J20&gt;=7), ROUND(((F19*J19) + (F20*J20)) / (F19 + F20), 2), 0)</f>
        <v>13.3</v>
      </c>
      <c r="L19" s="235">
        <f>IF(K19&gt;9.99,(F19+F20),0)</f>
        <v>6</v>
      </c>
      <c r="M19" s="263" t="str">
        <f>IF(K19&gt;9.99,"Validé","Non validé")</f>
        <v>Validé</v>
      </c>
    </row>
    <row r="20" spans="2:13" ht="15" customHeight="1">
      <c r="B20" s="234"/>
      <c r="C20" s="243"/>
      <c r="D20" s="269"/>
      <c r="E20" s="118" t="s">
        <v>57</v>
      </c>
      <c r="F20" s="9">
        <v>3</v>
      </c>
      <c r="G20" s="92">
        <f>[1]BULL_N4!G20</f>
        <v>16.600000000000001</v>
      </c>
      <c r="H20" s="242"/>
      <c r="I20" s="241"/>
      <c r="J20" s="93">
        <f>IF(AND(G20&lt;10, H19&lt;10), 'SEMESTRE N°1'!J14, IF(AND(G20&gt;=10, H19&gt;=10), G20, IF(AND(G20&gt;=10, H19&lt;10), G20, IF(AND(G20&lt;10, H19&gt;=10), G20, ""))))</f>
        <v>16.600000000000001</v>
      </c>
      <c r="K20" s="235"/>
      <c r="L20" s="235"/>
      <c r="M20" s="263"/>
    </row>
    <row r="21" spans="2:13" ht="15" customHeight="1">
      <c r="B21" s="234"/>
      <c r="C21" s="243" t="s">
        <v>58</v>
      </c>
      <c r="D21" s="268" t="s">
        <v>59</v>
      </c>
      <c r="E21" s="118" t="s">
        <v>169</v>
      </c>
      <c r="F21" s="9">
        <v>5</v>
      </c>
      <c r="G21" s="92">
        <f>[1]BULL_N4!G21</f>
        <v>10.8</v>
      </c>
      <c r="H21" s="241">
        <f>IF(AND(G21&gt;=7, G22&gt;=7, G23&gt;=7), ROUND(((F21*G21) + (F22*G22)+ (F23*G23)) / (F21 + F22+F23), 2), 0)</f>
        <v>0</v>
      </c>
      <c r="I21" s="241">
        <f>IF(H21&gt;9.99,(F21+F22+F23),0)</f>
        <v>0</v>
      </c>
      <c r="J21" s="159">
        <f>IF(AND(G21&lt;10, H21&lt;10), 'SEMESTRE N°1'!M14, IF(AND(G21&gt;=10, H21&gt;=10), G21, IF(AND(G21&gt;=10, H21&lt;10), G21, IF(AND(G21&lt;10, H21&gt;=10), G21, ""))))</f>
        <v>10.8</v>
      </c>
      <c r="K21" s="280">
        <f>IF(AND(J21&gt;=7, J22&gt;=7, J23&gt;=7), ROUND(((F21*J21) + (F22*J22)+ (F23*J23)) / (F21 + F22+F23), 2), 0)</f>
        <v>0</v>
      </c>
      <c r="L21" s="236">
        <f>IF(K21&gt;9.99,(F21+F22+F23),0)</f>
        <v>0</v>
      </c>
      <c r="M21" s="251" t="str">
        <f>IF(K21&gt;9.99,"Validé","Non validé")</f>
        <v>Non validé</v>
      </c>
    </row>
    <row r="22" spans="2:13" ht="15" customHeight="1">
      <c r="B22" s="234"/>
      <c r="C22" s="243"/>
      <c r="D22" s="279"/>
      <c r="E22" s="118" t="s">
        <v>61</v>
      </c>
      <c r="F22" s="9">
        <v>3</v>
      </c>
      <c r="G22" s="92">
        <f>[1]BULL_N4!G22</f>
        <v>15.39</v>
      </c>
      <c r="H22" s="242"/>
      <c r="I22" s="241"/>
      <c r="J22" s="159">
        <f>IF(AND(G22&lt;10, H21&lt;10), 'SEMESTRE N°1'!P14, IF(AND(G22&gt;=10, H21&gt;=10), G22, IF(AND(G22&gt;=10, H21&lt;10), G22, IF(AND(G22&lt;10, H21&gt;=10), G22, ""))))</f>
        <v>15.39</v>
      </c>
      <c r="K22" s="280"/>
      <c r="L22" s="237"/>
      <c r="M22" s="252"/>
    </row>
    <row r="23" spans="2:13" ht="15" customHeight="1">
      <c r="B23" s="234"/>
      <c r="C23" s="243"/>
      <c r="D23" s="269"/>
      <c r="E23" s="118" t="s">
        <v>62</v>
      </c>
      <c r="F23" s="9">
        <v>3</v>
      </c>
      <c r="G23" s="92">
        <f>[1]BULL_N4!G23</f>
        <v>5.548</v>
      </c>
      <c r="H23" s="242"/>
      <c r="I23" s="241"/>
      <c r="J23" s="90">
        <f>IF(AND(G23&lt;10, H21&lt;10), 'SEMESTRE N°1'!S14, IF(AND(G23&gt;=10, H21&gt;=10), G23, IF(AND(G23&gt;=10, H21&lt;10), G23, IF(AND(G23&lt;10, H21&gt;=10), G23, ""))))</f>
        <v>6</v>
      </c>
      <c r="K23" s="280"/>
      <c r="L23" s="238"/>
      <c r="M23" s="253"/>
    </row>
    <row r="24" spans="2:13" ht="15" customHeight="1">
      <c r="B24" s="234"/>
      <c r="C24" s="243" t="s">
        <v>63</v>
      </c>
      <c r="D24" s="268" t="s">
        <v>64</v>
      </c>
      <c r="E24" s="118" t="s">
        <v>65</v>
      </c>
      <c r="F24" s="9">
        <v>4</v>
      </c>
      <c r="G24" s="92">
        <f>[1]BULL_N4!G24</f>
        <v>11.7</v>
      </c>
      <c r="H24" s="241">
        <f>IF(AND(G24&gt;=7, G25&gt;=7), ROUND(((F24*G24) + (F25*G25)) / (F24 + F25), 2), 0)</f>
        <v>12.78</v>
      </c>
      <c r="I24" s="241">
        <f>IF(H24&gt;9.99,(F24+F25),0)</f>
        <v>8</v>
      </c>
      <c r="J24" s="93">
        <f>IF(AND(G24&lt;10, H24&lt;10), 'SEMESTRE N°1'!V14, IF(AND(G24&gt;=10, H24&gt;=10), G24, IF(AND(G24&gt;=10, H24&lt;10), G24, IF(AND(G24&lt;10, H24&gt;=10), G24, ""))))</f>
        <v>11.7</v>
      </c>
      <c r="K24" s="231">
        <f>IF(AND(J24&gt;=7, J25&gt;=7), ROUND(((F24*J24) + (F25*J25)) / (F24 + F25), 2), 0)</f>
        <v>12.78</v>
      </c>
      <c r="L24" s="231">
        <f>IF(K24&gt;9.99,(F24+F25),0)</f>
        <v>8</v>
      </c>
      <c r="M24" s="254" t="str">
        <f>IF(K24&gt;9.99,"Validé","Non validé")</f>
        <v>Validé</v>
      </c>
    </row>
    <row r="25" spans="2:13" ht="15" customHeight="1">
      <c r="B25" s="234"/>
      <c r="C25" s="243"/>
      <c r="D25" s="269"/>
      <c r="E25" s="118" t="s">
        <v>66</v>
      </c>
      <c r="F25" s="9">
        <v>4</v>
      </c>
      <c r="G25" s="92">
        <f>[1]BULL_N4!G25</f>
        <v>13.864000000000001</v>
      </c>
      <c r="H25" s="242"/>
      <c r="I25" s="241"/>
      <c r="J25" s="93">
        <f>IF(AND(G25&lt;10, H24&lt;10), 'SEMESTRE N°1'!Y14, IF(AND(G25&gt;=10, H24&gt;=10), G25, IF(AND(G25&gt;=10, H24&lt;10), G25, IF(AND(G25&lt;10, H24&gt;=10), G25, ""))))</f>
        <v>13.864000000000001</v>
      </c>
      <c r="K25" s="299"/>
      <c r="L25" s="299"/>
      <c r="M25" s="255"/>
    </row>
    <row r="26" spans="2:13" ht="15" customHeight="1">
      <c r="B26" s="234"/>
      <c r="C26" s="243" t="s">
        <v>67</v>
      </c>
      <c r="D26" s="319" t="s">
        <v>68</v>
      </c>
      <c r="E26" s="118" t="s">
        <v>69</v>
      </c>
      <c r="F26" s="9">
        <v>2</v>
      </c>
      <c r="G26" s="92">
        <f>[1]BULL_N4!G26</f>
        <v>16.8</v>
      </c>
      <c r="H26" s="241">
        <f>IF(AND(G26&gt;=7, G27&gt;=7), ROUND(((F26*G26) + (F27*G27)) / (F26 + F27), 2), 0)</f>
        <v>13.92</v>
      </c>
      <c r="I26" s="241">
        <f>IF(H26&gt;9.99,(F26+F27),0)</f>
        <v>5</v>
      </c>
      <c r="J26" s="93">
        <f>IF(AND(G26&lt;10, H26&lt;10), 'SEMESTRE N°1'!AB14, IF(AND(G26&gt;=10, H26&gt;=10), G26, IF(AND(G26&gt;=10, H26&lt;10), G26, IF(AND(G26&lt;10, H26&gt;=10), G26, ""))))</f>
        <v>16.8</v>
      </c>
      <c r="K26" s="231">
        <f>IF(AND(J26&gt;=7, J27&gt;=7), ROUND(((F26*J26) + (F27*J27)) / (F26 + F27), 2), 0)</f>
        <v>13.92</v>
      </c>
      <c r="L26" s="231">
        <f>IF(K26&gt;9.99,(F26+F27),0)</f>
        <v>5</v>
      </c>
      <c r="M26" s="254" t="str">
        <f>IF(K26&gt;9.99,"Validé","Non validé")</f>
        <v>Validé</v>
      </c>
    </row>
    <row r="27" spans="2:13" ht="15.6">
      <c r="B27" s="234"/>
      <c r="C27" s="243"/>
      <c r="D27" s="320"/>
      <c r="E27" s="118" t="s">
        <v>70</v>
      </c>
      <c r="F27" s="9">
        <v>3</v>
      </c>
      <c r="G27" s="92">
        <f>[1]BULL_N4!G27</f>
        <v>12</v>
      </c>
      <c r="H27" s="242"/>
      <c r="I27" s="241"/>
      <c r="J27" s="93">
        <f>IF(AND(G27&lt;10, H26&lt;10), 'SEMESTRE N°1'!J14, IF(AND(G27&gt;=10, H26&gt;=10), G27, IF(AND(G27&gt;=10, H26&lt;10), G27, IF(AND(G27&lt;10, H26&gt;=10), G27, ""))))</f>
        <v>12</v>
      </c>
      <c r="K27" s="299"/>
      <c r="L27" s="232"/>
      <c r="M27" s="255"/>
    </row>
    <row r="28" spans="2:13" ht="18" customHeight="1">
      <c r="B28" s="234"/>
      <c r="C28" s="284" t="s">
        <v>71</v>
      </c>
      <c r="D28" s="285"/>
      <c r="E28" s="284"/>
      <c r="F28" s="19">
        <f>F19+F20+F21+F22+F23+F24+F25+F26+F27</f>
        <v>30</v>
      </c>
      <c r="G28" s="3"/>
      <c r="H28" s="117">
        <f>ROUND((H19+H21+H24+H26)/4,2)</f>
        <v>6.68</v>
      </c>
      <c r="I28" s="110">
        <f>I26+I24+I21+I19</f>
        <v>13</v>
      </c>
      <c r="J28" s="91"/>
      <c r="K28" s="106">
        <f>ROUND((K19+K21+K24+K26)/4,2)</f>
        <v>10</v>
      </c>
      <c r="L28" s="107">
        <f>SUM(L19:L27)</f>
        <v>19</v>
      </c>
      <c r="M28" s="88"/>
    </row>
    <row r="29" spans="2:13">
      <c r="C29" s="11"/>
      <c r="G29" s="11"/>
    </row>
    <row r="30" spans="2:13" ht="18">
      <c r="B30" s="264" t="s">
        <v>72</v>
      </c>
      <c r="C30" s="265"/>
      <c r="D30" s="21">
        <f>L28</f>
        <v>19</v>
      </c>
      <c r="E30" s="12"/>
      <c r="F30" s="13"/>
      <c r="G30" s="14"/>
      <c r="H30" s="15"/>
      <c r="I30" s="15"/>
      <c r="K30" s="275" t="s">
        <v>73</v>
      </c>
      <c r="L30" s="275"/>
      <c r="M30" s="275"/>
    </row>
    <row r="31" spans="2:13" ht="15.6">
      <c r="B31" s="266" t="s">
        <v>74</v>
      </c>
      <c r="C31" s="267"/>
      <c r="D31" s="22" t="str">
        <f>IF(D30=F28,"Semestre validé","Semestre non validé")</f>
        <v>Semestre non validé</v>
      </c>
      <c r="E31" s="13"/>
      <c r="F31" s="13"/>
      <c r="G31" s="16"/>
      <c r="H31" s="36"/>
      <c r="I31" s="36"/>
      <c r="J31" s="36"/>
      <c r="K31" s="36"/>
      <c r="L31" s="36"/>
      <c r="M31" s="36"/>
    </row>
    <row r="32" spans="2:13">
      <c r="B32" s="266" t="s">
        <v>75</v>
      </c>
      <c r="C32" s="267"/>
      <c r="D32" s="1">
        <v>0</v>
      </c>
      <c r="E32" s="13"/>
      <c r="F32" s="13"/>
      <c r="G32" s="16"/>
      <c r="H32" s="13"/>
      <c r="I32" s="13"/>
      <c r="J32" s="13"/>
    </row>
    <row r="33" spans="1:13">
      <c r="B33" s="59"/>
      <c r="C33" s="59"/>
      <c r="D33" s="1"/>
      <c r="E33" s="13"/>
      <c r="F33" s="13"/>
      <c r="G33" s="16"/>
      <c r="H33" s="13"/>
      <c r="I33" s="13"/>
      <c r="J33" s="13"/>
    </row>
    <row r="34" spans="1:13">
      <c r="B34" s="59"/>
      <c r="C34" s="59"/>
      <c r="D34" s="1"/>
      <c r="E34" s="13"/>
      <c r="F34" s="13"/>
      <c r="G34" s="16"/>
      <c r="H34" s="13"/>
      <c r="I34" s="13"/>
      <c r="J34" s="13"/>
    </row>
    <row r="35" spans="1:13">
      <c r="B35" s="59"/>
      <c r="C35" s="59"/>
      <c r="D35" s="1"/>
      <c r="E35" s="13"/>
      <c r="F35" s="13"/>
      <c r="G35" s="16"/>
      <c r="H35" s="13"/>
      <c r="I35" s="13"/>
      <c r="J35" s="13"/>
    </row>
    <row r="36" spans="1:13">
      <c r="B36" s="59"/>
      <c r="C36" s="59"/>
      <c r="D36" s="1"/>
      <c r="E36" s="13"/>
      <c r="F36" s="13"/>
      <c r="G36" s="16"/>
      <c r="H36" s="13"/>
      <c r="I36" s="13"/>
      <c r="J36" s="13"/>
    </row>
    <row r="37" spans="1:13" ht="15" customHeight="1">
      <c r="G37" s="275" t="s">
        <v>76</v>
      </c>
      <c r="H37" s="275"/>
      <c r="I37" s="275"/>
      <c r="J37" s="275"/>
      <c r="K37" s="275"/>
      <c r="L37" s="275"/>
      <c r="M37" s="275"/>
    </row>
    <row r="38" spans="1:13" ht="14.1" customHeight="1">
      <c r="B38" s="308" t="s">
        <v>77</v>
      </c>
      <c r="C38" s="308"/>
      <c r="D38" s="308"/>
      <c r="E38" s="308"/>
      <c r="F38" s="308"/>
      <c r="G38" s="308"/>
      <c r="H38" s="308"/>
      <c r="I38" s="308"/>
      <c r="J38" s="308"/>
      <c r="K38" s="308"/>
      <c r="L38" s="308"/>
      <c r="M38" s="308"/>
    </row>
    <row r="39" spans="1:13" ht="14.4" customHeight="1">
      <c r="B39" s="308"/>
      <c r="C39" s="308"/>
      <c r="D39" s="308"/>
      <c r="E39" s="308"/>
      <c r="F39" s="308"/>
      <c r="G39" s="308"/>
      <c r="H39" s="308"/>
      <c r="I39" s="308"/>
      <c r="J39" s="308"/>
      <c r="K39" s="308"/>
      <c r="L39" s="308"/>
      <c r="M39" s="308"/>
    </row>
    <row r="40" spans="1:13" ht="12" customHeight="1"/>
    <row r="42" spans="1:13" ht="13.5" customHeight="1"/>
    <row r="43" spans="1:13" hidden="1">
      <c r="A43" s="18" t="s">
        <v>78</v>
      </c>
    </row>
  </sheetData>
  <mergeCells count="58">
    <mergeCell ref="B38:M39"/>
    <mergeCell ref="G37:M37"/>
    <mergeCell ref="L26:L27"/>
    <mergeCell ref="C28:E28"/>
    <mergeCell ref="B30:C30"/>
    <mergeCell ref="C26:C27"/>
    <mergeCell ref="D26:D27"/>
    <mergeCell ref="H26:H27"/>
    <mergeCell ref="I26:I27"/>
    <mergeCell ref="K26:K27"/>
    <mergeCell ref="B31:C31"/>
    <mergeCell ref="K24:K25"/>
    <mergeCell ref="L24:L25"/>
    <mergeCell ref="I21:I23"/>
    <mergeCell ref="K21:K23"/>
    <mergeCell ref="B32:C32"/>
    <mergeCell ref="B17:B28"/>
    <mergeCell ref="C17:D18"/>
    <mergeCell ref="E17:E18"/>
    <mergeCell ref="F17:F18"/>
    <mergeCell ref="H17:I17"/>
    <mergeCell ref="C24:C25"/>
    <mergeCell ref="D24:D25"/>
    <mergeCell ref="H24:H25"/>
    <mergeCell ref="I24:I25"/>
    <mergeCell ref="L19:L20"/>
    <mergeCell ref="K19:K20"/>
    <mergeCell ref="C21:C23"/>
    <mergeCell ref="D21:D23"/>
    <mergeCell ref="H21:H23"/>
    <mergeCell ref="L21:L23"/>
    <mergeCell ref="D19:D20"/>
    <mergeCell ref="I19:I20"/>
    <mergeCell ref="G14:L14"/>
    <mergeCell ref="B15:D16"/>
    <mergeCell ref="E15:F16"/>
    <mergeCell ref="G16:I16"/>
    <mergeCell ref="C11:E11"/>
    <mergeCell ref="G11:L11"/>
    <mergeCell ref="B12:C12"/>
    <mergeCell ref="D12:E12"/>
    <mergeCell ref="G12:L12"/>
    <mergeCell ref="J17:L17"/>
    <mergeCell ref="E5:M8"/>
    <mergeCell ref="K30:M30"/>
    <mergeCell ref="M24:M25"/>
    <mergeCell ref="M26:M27"/>
    <mergeCell ref="G15:M15"/>
    <mergeCell ref="B9:M9"/>
    <mergeCell ref="J16:L16"/>
    <mergeCell ref="M16:M18"/>
    <mergeCell ref="M19:M20"/>
    <mergeCell ref="M21:M23"/>
    <mergeCell ref="C19:C20"/>
    <mergeCell ref="H19:H20"/>
    <mergeCell ref="C13:E13"/>
    <mergeCell ref="G13:L13"/>
    <mergeCell ref="C14:E14"/>
  </mergeCells>
  <pageMargins left="0" right="0" top="0" bottom="0" header="0" footer="0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0052E-6C10-452F-A719-14A9AD72892C}">
  <sheetPr codeName="Feuil7">
    <tabColor rgb="FF7030A0"/>
  </sheetPr>
  <dimension ref="A5:M42"/>
  <sheetViews>
    <sheetView showGridLines="0" view="pageLayout" topLeftCell="A8" zoomScaleNormal="96" workbookViewId="0">
      <selection activeCell="C13" sqref="C13:E13"/>
    </sheetView>
  </sheetViews>
  <sheetFormatPr baseColWidth="10" defaultColWidth="10.88671875" defaultRowHeight="14.4"/>
  <cols>
    <col min="1" max="1" width="4.6640625" style="5" customWidth="1"/>
    <col min="2" max="2" width="10.88671875" style="5"/>
    <col min="3" max="3" width="9.5546875" style="5" customWidth="1"/>
    <col min="4" max="4" width="14.88671875" style="5" customWidth="1"/>
    <col min="5" max="5" width="29.44140625" style="5" customWidth="1"/>
    <col min="6" max="6" width="11.5546875" style="5" customWidth="1"/>
    <col min="7" max="8" width="7.6640625" style="5" customWidth="1"/>
    <col min="9" max="9" width="6.33203125" style="5" customWidth="1"/>
    <col min="10" max="12" width="8.6640625" style="5" customWidth="1"/>
    <col min="13" max="13" width="12.6640625" style="5" customWidth="1"/>
    <col min="14" max="16384" width="10.88671875" style="5"/>
  </cols>
  <sheetData>
    <row r="5" spans="1:13">
      <c r="E5" s="288" t="s">
        <v>162</v>
      </c>
      <c r="F5" s="229"/>
      <c r="G5" s="229"/>
      <c r="H5" s="229"/>
      <c r="I5" s="229"/>
      <c r="J5" s="229"/>
      <c r="K5" s="229"/>
      <c r="L5" s="229"/>
      <c r="M5" s="229"/>
    </row>
    <row r="6" spans="1:13">
      <c r="E6" s="229"/>
      <c r="F6" s="229"/>
      <c r="G6" s="229"/>
      <c r="H6" s="229"/>
      <c r="I6" s="229"/>
      <c r="J6" s="229"/>
      <c r="K6" s="229"/>
      <c r="L6" s="229"/>
      <c r="M6" s="229"/>
    </row>
    <row r="7" spans="1:13">
      <c r="E7" s="229"/>
      <c r="F7" s="229"/>
      <c r="G7" s="229"/>
      <c r="H7" s="229"/>
      <c r="I7" s="229"/>
      <c r="J7" s="229"/>
      <c r="K7" s="229"/>
      <c r="L7" s="229"/>
      <c r="M7" s="229"/>
    </row>
    <row r="8" spans="1:13">
      <c r="E8" s="230"/>
      <c r="F8" s="230"/>
      <c r="G8" s="230"/>
      <c r="H8" s="230"/>
      <c r="I8" s="230"/>
      <c r="J8" s="230"/>
      <c r="K8" s="230"/>
      <c r="L8" s="230"/>
      <c r="M8" s="230"/>
    </row>
    <row r="9" spans="1:13" ht="18" customHeight="1">
      <c r="A9" s="37"/>
      <c r="B9" s="239" t="s">
        <v>35</v>
      </c>
      <c r="C9" s="239"/>
      <c r="D9" s="239"/>
      <c r="E9" s="239"/>
      <c r="F9" s="239"/>
      <c r="G9" s="239"/>
      <c r="H9" s="239"/>
      <c r="I9" s="239"/>
      <c r="J9" s="239"/>
      <c r="K9" s="239"/>
      <c r="L9" s="239"/>
      <c r="M9" s="239"/>
    </row>
    <row r="10" spans="1:13" ht="15.75" customHeight="1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1:13" ht="17.100000000000001" customHeight="1">
      <c r="B11" s="6" t="s">
        <v>36</v>
      </c>
      <c r="C11" s="291" t="str">
        <f>'SEMESTRE N°1'!A15</f>
        <v>DIOMBE Océane Rosia</v>
      </c>
      <c r="D11" s="292"/>
      <c r="E11" s="292"/>
      <c r="F11" s="6" t="s">
        <v>37</v>
      </c>
      <c r="G11" s="297" t="str">
        <f>A42</f>
        <v>Licence Pro. Informatique-1ère année Tronc commun</v>
      </c>
      <c r="H11" s="297"/>
      <c r="I11" s="297"/>
      <c r="J11" s="297"/>
      <c r="K11" s="297"/>
      <c r="L11" s="297"/>
    </row>
    <row r="12" spans="1:13" ht="17.100000000000001" customHeight="1">
      <c r="B12" s="246" t="s">
        <v>38</v>
      </c>
      <c r="C12" s="246"/>
      <c r="D12" s="295">
        <f>'SEMESTRE N°1'!B15</f>
        <v>38774</v>
      </c>
      <c r="E12" s="294"/>
      <c r="F12" s="6" t="s">
        <v>29</v>
      </c>
      <c r="G12" s="294" t="str">
        <f>'SEMESTRE N°1'!E15</f>
        <v>TC-1</v>
      </c>
      <c r="H12" s="294"/>
      <c r="I12" s="294"/>
      <c r="J12" s="294"/>
      <c r="K12" s="294"/>
      <c r="L12" s="294"/>
    </row>
    <row r="13" spans="1:13" ht="17.100000000000001" customHeight="1">
      <c r="B13" s="6" t="s">
        <v>39</v>
      </c>
      <c r="C13" s="291" t="str">
        <f>'SEMESTRE N°1'!C15</f>
        <v>Gabonaise</v>
      </c>
      <c r="D13" s="292"/>
      <c r="E13" s="292"/>
      <c r="F13" s="6" t="s">
        <v>40</v>
      </c>
      <c r="G13" s="249"/>
      <c r="H13" s="249"/>
      <c r="I13" s="249"/>
      <c r="J13" s="249"/>
      <c r="K13" s="249"/>
      <c r="L13" s="249"/>
    </row>
    <row r="14" spans="1:13" ht="17.100000000000001" customHeight="1">
      <c r="B14" s="6" t="s">
        <v>41</v>
      </c>
      <c r="C14" s="305" t="str">
        <f>'SEMESTRE N°1'!D15</f>
        <v>062024</v>
      </c>
      <c r="D14" s="294"/>
      <c r="E14" s="306"/>
      <c r="F14" s="6" t="s">
        <v>42</v>
      </c>
      <c r="G14" s="249"/>
      <c r="H14" s="249"/>
      <c r="I14" s="249"/>
      <c r="J14" s="249"/>
      <c r="K14" s="249"/>
      <c r="L14" s="249"/>
    </row>
    <row r="15" spans="1:13">
      <c r="B15" s="281" t="s">
        <v>43</v>
      </c>
      <c r="C15" s="281"/>
      <c r="D15" s="281"/>
      <c r="E15" s="282" t="s">
        <v>17</v>
      </c>
      <c r="F15" s="283"/>
      <c r="G15" s="240" t="s">
        <v>44</v>
      </c>
      <c r="H15" s="240"/>
      <c r="I15" s="240"/>
      <c r="J15" s="240"/>
      <c r="K15" s="240"/>
      <c r="L15" s="240"/>
      <c r="M15" s="240"/>
    </row>
    <row r="16" spans="1:13">
      <c r="B16" s="281"/>
      <c r="C16" s="281"/>
      <c r="D16" s="281"/>
      <c r="E16" s="282"/>
      <c r="F16" s="283"/>
      <c r="G16" s="240" t="s">
        <v>83</v>
      </c>
      <c r="H16" s="240"/>
      <c r="I16" s="240"/>
      <c r="J16" s="256" t="s">
        <v>46</v>
      </c>
      <c r="K16" s="257"/>
      <c r="L16" s="257"/>
      <c r="M16" s="258" t="s">
        <v>47</v>
      </c>
    </row>
    <row r="17" spans="2:13" ht="15" customHeight="1">
      <c r="B17" s="233" t="s">
        <v>48</v>
      </c>
      <c r="C17" s="273" t="s">
        <v>49</v>
      </c>
      <c r="D17" s="273"/>
      <c r="E17" s="272" t="s">
        <v>49</v>
      </c>
      <c r="F17" s="272" t="s">
        <v>50</v>
      </c>
      <c r="G17" s="2" t="s">
        <v>51</v>
      </c>
      <c r="H17" s="272" t="s">
        <v>52</v>
      </c>
      <c r="I17" s="272"/>
      <c r="J17" s="261" t="s">
        <v>17</v>
      </c>
      <c r="K17" s="261"/>
      <c r="L17" s="262"/>
      <c r="M17" s="259"/>
    </row>
    <row r="18" spans="2:13">
      <c r="B18" s="234"/>
      <c r="C18" s="272"/>
      <c r="D18" s="274"/>
      <c r="E18" s="272"/>
      <c r="F18" s="272"/>
      <c r="G18" s="60" t="s">
        <v>53</v>
      </c>
      <c r="H18" s="60" t="s">
        <v>53</v>
      </c>
      <c r="I18" s="60" t="s">
        <v>50</v>
      </c>
      <c r="J18" s="87" t="s">
        <v>53</v>
      </c>
      <c r="K18" s="87" t="s">
        <v>53</v>
      </c>
      <c r="L18" s="89" t="s">
        <v>50</v>
      </c>
      <c r="M18" s="260"/>
    </row>
    <row r="19" spans="2:13">
      <c r="B19" s="234"/>
      <c r="C19" s="243" t="s">
        <v>54</v>
      </c>
      <c r="D19" s="268" t="s">
        <v>55</v>
      </c>
      <c r="E19" s="118" t="s">
        <v>56</v>
      </c>
      <c r="F19" s="9">
        <v>3</v>
      </c>
      <c r="G19" s="92">
        <f>[1]BULL_N5!G19</f>
        <v>7.6</v>
      </c>
      <c r="H19" s="241">
        <f>IF(AND(G19&gt;=7, G20&gt;=7), ROUND(((F19*G19) + (F20*G20)) / (F19 + F20), 2), 0)</f>
        <v>10.4</v>
      </c>
      <c r="I19" s="241">
        <f>IF(H19&gt;9.99,(F19+F20),0)</f>
        <v>6</v>
      </c>
      <c r="J19" s="159">
        <f>IF(AND(G19&lt;10, H19&lt;10), 'SEMESTRE N°1'!G15, IF(AND(G19&gt;=10, H19&gt;=10), G19, IF(AND(G19&gt;=10, H19&lt;10), G19, IF(AND(G19&lt;10, H19&gt;=10), G19, ""))))</f>
        <v>7.6</v>
      </c>
      <c r="K19" s="322">
        <f>IF(AND(J19&gt;=7, J20&gt;=7), ROUND(((F19*J19) + (F20*J20)) / (F19 + F20), 2), 0)</f>
        <v>10.4</v>
      </c>
      <c r="L19" s="322">
        <f>IF(K19&gt;9.99,(F19+F20),0)</f>
        <v>6</v>
      </c>
      <c r="M19" s="263" t="str">
        <f>IF(K19&gt;9.99,"Validé","Non validé")</f>
        <v>Validé</v>
      </c>
    </row>
    <row r="20" spans="2:13">
      <c r="B20" s="234"/>
      <c r="C20" s="243"/>
      <c r="D20" s="269"/>
      <c r="E20" s="118" t="s">
        <v>57</v>
      </c>
      <c r="F20" s="9">
        <v>3</v>
      </c>
      <c r="G20" s="92">
        <f>[1]BULL_N5!G20</f>
        <v>13.200000000000001</v>
      </c>
      <c r="H20" s="242"/>
      <c r="I20" s="241"/>
      <c r="J20" s="159">
        <f>IF(AND(G20&lt;10, H19&lt;10), 'SEMESTRE N°1'!J15, IF(AND(G20&gt;=10, H19&gt;=10), G20, IF(AND(G20&gt;=10, H19&lt;10), G20, IF(AND(G20&lt;10, H19&gt;=10), G20, ""))))</f>
        <v>13.200000000000001</v>
      </c>
      <c r="K20" s="322"/>
      <c r="L20" s="322"/>
      <c r="M20" s="263"/>
    </row>
    <row r="21" spans="2:13">
      <c r="B21" s="234"/>
      <c r="C21" s="243" t="s">
        <v>58</v>
      </c>
      <c r="D21" s="268" t="s">
        <v>59</v>
      </c>
      <c r="E21" s="118" t="s">
        <v>169</v>
      </c>
      <c r="F21" s="9">
        <v>5</v>
      </c>
      <c r="G21" s="92">
        <f>[1]BULL_N5!G21</f>
        <v>11.8</v>
      </c>
      <c r="H21" s="241">
        <f>IF(AND(G21&gt;=7, G22&gt;=7, G23&gt;=7), ROUND(((F21*G21) + (F22*G22)+ (F23*G23)) / (F21 + F22+F23), 2), 0)</f>
        <v>0</v>
      </c>
      <c r="I21" s="241">
        <f>IF(H21&gt;9.99,(F21+F22+F23),0)</f>
        <v>0</v>
      </c>
      <c r="J21" s="159">
        <f>IF(AND(G21&lt;10, H21&lt;10), 'SEMESTRE N°1'!M15, IF(AND(G21&gt;=10, H21&gt;=10), G21, IF(AND(G21&gt;=10, H21&lt;10), G21, IF(AND(G21&lt;10, H21&gt;=10), G21, ""))))</f>
        <v>11.8</v>
      </c>
      <c r="K21" s="326">
        <f>IF(AND(J21&gt;=7, J22&gt;=7, J23&gt;=7), ROUND(((F21*J21) + (F22*J22)+ (F23*J23)) / (F21 + F22+F23), 2), 0)</f>
        <v>12.02</v>
      </c>
      <c r="L21" s="323">
        <f>IF(K21&gt;9.99,(F21+F22+F23),0)</f>
        <v>11</v>
      </c>
      <c r="M21" s="251" t="str">
        <f>IF(K21&gt;9.99,"Validé","Non validé")</f>
        <v>Validé</v>
      </c>
    </row>
    <row r="22" spans="2:13">
      <c r="B22" s="234"/>
      <c r="C22" s="243"/>
      <c r="D22" s="279"/>
      <c r="E22" s="118" t="s">
        <v>61</v>
      </c>
      <c r="F22" s="9">
        <v>3</v>
      </c>
      <c r="G22" s="92">
        <f>[1]BULL_N5!G22</f>
        <v>15.42</v>
      </c>
      <c r="H22" s="242"/>
      <c r="I22" s="241"/>
      <c r="J22" s="159">
        <f>IF(AND(G22&lt;10, H21&lt;10), 'SEMESTRE N°1'!P15, IF(AND(G22&gt;=10, H21&gt;=10), G22, IF(AND(G22&gt;=10, H21&lt;10), G22, IF(AND(G22&lt;10, H21&gt;=10), G22, ""))))</f>
        <v>15.42</v>
      </c>
      <c r="K22" s="326"/>
      <c r="L22" s="324"/>
      <c r="M22" s="252"/>
    </row>
    <row r="23" spans="2:13">
      <c r="B23" s="234"/>
      <c r="C23" s="243"/>
      <c r="D23" s="269"/>
      <c r="E23" s="118" t="s">
        <v>62</v>
      </c>
      <c r="F23" s="9">
        <v>3</v>
      </c>
      <c r="G23" s="92">
        <f>[1]BULL_N5!G23</f>
        <v>6.2000000000000011</v>
      </c>
      <c r="H23" s="242"/>
      <c r="I23" s="241"/>
      <c r="J23" s="165">
        <f>IF(AND(G23&lt;10, H21&lt;10), 'SEMESTRE N°1'!S15, IF(AND(G23&gt;=10, H21&gt;=10), G23, IF(AND(G23&gt;=10, H21&lt;10), G23, IF(AND(G23&lt;10, H21&gt;=10), G23, ""))))</f>
        <v>9</v>
      </c>
      <c r="K23" s="326"/>
      <c r="L23" s="325"/>
      <c r="M23" s="253"/>
    </row>
    <row r="24" spans="2:13">
      <c r="B24" s="234"/>
      <c r="C24" s="243" t="s">
        <v>63</v>
      </c>
      <c r="D24" s="268" t="s">
        <v>64</v>
      </c>
      <c r="E24" s="118" t="s">
        <v>65</v>
      </c>
      <c r="F24" s="9">
        <v>4</v>
      </c>
      <c r="G24" s="92">
        <f>[1]BULL_N5!G24</f>
        <v>13.7</v>
      </c>
      <c r="H24" s="241">
        <f>IF(AND(G24&gt;=7, G25&gt;=7), ROUND(((F24*G24) + (F25*G25)) / (F24 + F25), 2), 0)</f>
        <v>14.55</v>
      </c>
      <c r="I24" s="241">
        <f>IF(H24&gt;9.99,(F24+F25),0)</f>
        <v>8</v>
      </c>
      <c r="J24" s="159">
        <f>IF(AND(G24&lt;10, H24&lt;10), 'SEMESTRE N°1'!V15, IF(AND(G24&gt;=10, H24&gt;=10), G24, IF(AND(G24&gt;=10, H24&lt;10), G24, IF(AND(G24&lt;10, H24&gt;=10), G24, ""))))</f>
        <v>13.7</v>
      </c>
      <c r="K24" s="270">
        <f>IF(AND(J24&gt;=7, J25&gt;=7), ROUND(((F24*J24) + (F25*J25)) / (F24 + F25), 2), 0)</f>
        <v>14.55</v>
      </c>
      <c r="L24" s="270">
        <f>IF(K24&gt;9.99,(F24+F25),0)</f>
        <v>8</v>
      </c>
      <c r="M24" s="254" t="str">
        <f>IF(K24&gt;9.99,"Validé","Non validé")</f>
        <v>Validé</v>
      </c>
    </row>
    <row r="25" spans="2:13">
      <c r="B25" s="234"/>
      <c r="C25" s="243"/>
      <c r="D25" s="269"/>
      <c r="E25" s="118" t="s">
        <v>66</v>
      </c>
      <c r="F25" s="9">
        <v>4</v>
      </c>
      <c r="G25" s="92">
        <f>[1]BULL_N5!G25</f>
        <v>15.4</v>
      </c>
      <c r="H25" s="242"/>
      <c r="I25" s="241"/>
      <c r="J25" s="159">
        <f>IF(AND(G25&lt;10, H24&lt;10), 'SEMESTRE N°1'!Y15, IF(AND(G25&gt;=10, H24&gt;=10), G25, IF(AND(G25&gt;=10, H24&lt;10), G25, IF(AND(G25&lt;10, H24&gt;=10), G25, ""))))</f>
        <v>15.4</v>
      </c>
      <c r="K25" s="271"/>
      <c r="L25" s="271"/>
      <c r="M25" s="255"/>
    </row>
    <row r="26" spans="2:13" ht="17.399999999999999" customHeight="1">
      <c r="B26" s="234"/>
      <c r="C26" s="243" t="s">
        <v>67</v>
      </c>
      <c r="D26" s="319" t="s">
        <v>68</v>
      </c>
      <c r="E26" s="118" t="s">
        <v>69</v>
      </c>
      <c r="F26" s="9">
        <v>2</v>
      </c>
      <c r="G26" s="92">
        <f>[1]BULL_N5!G26</f>
        <v>17.399999999999999</v>
      </c>
      <c r="H26" s="241">
        <f>IF(AND(G26&gt;=7, G27&gt;=7), ROUND(((F26*G26) + (F27*G27)) / (F26 + F27), 2), 0)</f>
        <v>16.53</v>
      </c>
      <c r="I26" s="241">
        <f>IF(H26&gt;9.99,(F26+F27),0)</f>
        <v>5</v>
      </c>
      <c r="J26" s="159">
        <f>IF(AND(G26&lt;10, H26&lt;10), 'SEMESTRE N°1'!AB15, IF(AND(G26&gt;=10, H26&gt;=10), G26, IF(AND(G26&gt;=10, H26&lt;10), G26, IF(AND(G26&lt;10, H26&gt;=10), G26, ""))))</f>
        <v>17.399999999999999</v>
      </c>
      <c r="K26" s="270">
        <f>IF(AND(J26&gt;=7, J27&gt;=7), ROUND(((F26*J26) + (F27*J27)) / (F26 + F27), 2), 0)</f>
        <v>16.53</v>
      </c>
      <c r="L26" s="270">
        <f>IF(K26&gt;9.99,(F26+F27),0)</f>
        <v>5</v>
      </c>
      <c r="M26" s="254" t="str">
        <f>IF(K26&gt;9.99,"Validé","Non validé")</f>
        <v>Validé</v>
      </c>
    </row>
    <row r="27" spans="2:13">
      <c r="B27" s="234"/>
      <c r="C27" s="243"/>
      <c r="D27" s="320"/>
      <c r="E27" s="118" t="s">
        <v>70</v>
      </c>
      <c r="F27" s="9">
        <v>3</v>
      </c>
      <c r="G27" s="92">
        <f>[1]BULL_N5!G27</f>
        <v>15.95</v>
      </c>
      <c r="H27" s="242"/>
      <c r="I27" s="241"/>
      <c r="J27" s="159">
        <f>IF(AND(G27&lt;10, H26&lt;10), 'SEMESTRE N°1'!J15, IF(AND(G27&gt;=10, H26&gt;=10), G27, IF(AND(G27&gt;=10, H26&lt;10), G27, IF(AND(G27&lt;10, H26&gt;=10), G27, ""))))</f>
        <v>15.95</v>
      </c>
      <c r="K27" s="271"/>
      <c r="L27" s="322"/>
      <c r="M27" s="255"/>
    </row>
    <row r="28" spans="2:13" ht="17.25" customHeight="1">
      <c r="B28" s="234"/>
      <c r="C28" s="284" t="s">
        <v>71</v>
      </c>
      <c r="D28" s="285"/>
      <c r="E28" s="284"/>
      <c r="F28" s="19">
        <f>F19+F20+F21+F22+F23+F24+F25+F26+F27</f>
        <v>30</v>
      </c>
      <c r="G28" s="3"/>
      <c r="H28" s="117">
        <f>ROUND((H19+H21+H24+H26)/4,2)</f>
        <v>10.37</v>
      </c>
      <c r="I28" s="110">
        <f>I26+I24+I21+I19</f>
        <v>19</v>
      </c>
      <c r="J28" s="91"/>
      <c r="K28" s="111">
        <f>ROUND((K19+K21+K24+K26)/4,2)</f>
        <v>13.38</v>
      </c>
      <c r="L28" s="107">
        <f>SUM(L19:L27)</f>
        <v>30</v>
      </c>
      <c r="M28" s="88"/>
    </row>
    <row r="29" spans="2:13" ht="11.25" customHeight="1">
      <c r="C29" s="11"/>
      <c r="G29" s="11"/>
    </row>
    <row r="30" spans="2:13" ht="17.100000000000001" customHeight="1">
      <c r="B30" s="266" t="s">
        <v>72</v>
      </c>
      <c r="C30" s="267"/>
      <c r="D30" s="21">
        <f>L26+L24+L21+L19</f>
        <v>30</v>
      </c>
      <c r="E30" s="12"/>
      <c r="F30" s="13"/>
      <c r="G30" s="14"/>
      <c r="H30" s="15"/>
      <c r="I30" s="15"/>
      <c r="J30" s="275" t="s">
        <v>73</v>
      </c>
      <c r="K30" s="275"/>
      <c r="L30" s="275"/>
      <c r="M30" s="275"/>
    </row>
    <row r="31" spans="2:13" ht="17.100000000000001" customHeight="1">
      <c r="B31" s="266" t="s">
        <v>74</v>
      </c>
      <c r="C31" s="267"/>
      <c r="D31" s="22" t="str">
        <f>IF(D30=F28,"Semestre validé","Semestre non validé")</f>
        <v>Semestre validé</v>
      </c>
      <c r="E31" s="13"/>
      <c r="F31" s="13"/>
      <c r="G31" s="16"/>
      <c r="H31" s="36"/>
      <c r="I31" s="36"/>
      <c r="J31" s="36"/>
      <c r="K31" s="36"/>
      <c r="L31" s="36"/>
      <c r="M31" s="36"/>
    </row>
    <row r="32" spans="2:13" ht="17.100000000000001" customHeight="1">
      <c r="B32" s="266" t="s">
        <v>75</v>
      </c>
      <c r="C32" s="267"/>
      <c r="D32" s="1">
        <v>0</v>
      </c>
      <c r="E32" s="13"/>
      <c r="F32" s="13"/>
      <c r="G32" s="16"/>
      <c r="H32" s="13"/>
      <c r="I32" s="13"/>
      <c r="J32" s="13"/>
    </row>
    <row r="33" spans="1:13">
      <c r="B33" s="113"/>
      <c r="C33" s="113"/>
      <c r="D33" s="1"/>
      <c r="E33" s="13"/>
      <c r="F33" s="13"/>
      <c r="G33" s="16"/>
      <c r="H33" s="13"/>
      <c r="I33" s="13"/>
      <c r="J33" s="13"/>
    </row>
    <row r="34" spans="1:13" ht="12" customHeight="1">
      <c r="B34" s="113"/>
      <c r="C34" s="113"/>
      <c r="D34" s="1"/>
      <c r="E34" s="13"/>
      <c r="F34" s="13"/>
      <c r="G34" s="16"/>
      <c r="H34" s="13"/>
      <c r="I34" s="13"/>
      <c r="J34" s="13"/>
    </row>
    <row r="35" spans="1:13" ht="16.5" customHeight="1">
      <c r="C35" s="16"/>
      <c r="D35" s="13"/>
      <c r="E35" s="13"/>
      <c r="F35" s="13"/>
      <c r="G35" s="16"/>
      <c r="H35" s="13"/>
      <c r="I35" s="13"/>
      <c r="J35" s="13"/>
    </row>
    <row r="36" spans="1:13" ht="17.100000000000001" customHeight="1">
      <c r="G36" s="275" t="s">
        <v>76</v>
      </c>
      <c r="H36" s="275"/>
      <c r="I36" s="275"/>
      <c r="J36" s="275"/>
      <c r="K36" s="275"/>
      <c r="L36" s="275"/>
      <c r="M36" s="275"/>
    </row>
    <row r="37" spans="1:13" ht="17.100000000000001" customHeight="1">
      <c r="B37" s="321" t="s">
        <v>80</v>
      </c>
      <c r="C37" s="321"/>
      <c r="D37" s="321"/>
      <c r="E37" s="321"/>
      <c r="F37" s="321"/>
      <c r="G37" s="321"/>
      <c r="H37" s="321"/>
      <c r="I37" s="321"/>
      <c r="J37" s="321"/>
      <c r="K37" s="321"/>
      <c r="L37" s="321"/>
      <c r="M37" s="321"/>
    </row>
    <row r="38" spans="1:13" ht="17.100000000000001" customHeight="1">
      <c r="B38" s="321"/>
      <c r="C38" s="321"/>
      <c r="D38" s="321"/>
      <c r="E38" s="321"/>
      <c r="F38" s="321"/>
      <c r="G38" s="321"/>
      <c r="H38" s="321"/>
      <c r="I38" s="321"/>
      <c r="J38" s="321"/>
      <c r="K38" s="321"/>
      <c r="L38" s="321"/>
      <c r="M38" s="321"/>
    </row>
    <row r="39" spans="1:13" ht="12" customHeight="1"/>
    <row r="41" spans="1:13" ht="13.5" customHeight="1"/>
    <row r="42" spans="1:13" hidden="1">
      <c r="A42" s="18" t="s">
        <v>78</v>
      </c>
    </row>
  </sheetData>
  <mergeCells count="58">
    <mergeCell ref="G36:M36"/>
    <mergeCell ref="K24:K25"/>
    <mergeCell ref="L24:L25"/>
    <mergeCell ref="I21:I23"/>
    <mergeCell ref="K21:K23"/>
    <mergeCell ref="B32:C32"/>
    <mergeCell ref="L26:L27"/>
    <mergeCell ref="C28:E28"/>
    <mergeCell ref="B30:C30"/>
    <mergeCell ref="C26:C27"/>
    <mergeCell ref="D26:D27"/>
    <mergeCell ref="H26:H27"/>
    <mergeCell ref="I26:I27"/>
    <mergeCell ref="K26:K27"/>
    <mergeCell ref="B31:C31"/>
    <mergeCell ref="B17:B28"/>
    <mergeCell ref="C17:D18"/>
    <mergeCell ref="E17:E18"/>
    <mergeCell ref="F17:F18"/>
    <mergeCell ref="H17:I17"/>
    <mergeCell ref="C24:C25"/>
    <mergeCell ref="C11:E11"/>
    <mergeCell ref="G11:L11"/>
    <mergeCell ref="B12:C12"/>
    <mergeCell ref="D12:E12"/>
    <mergeCell ref="G12:L12"/>
    <mergeCell ref="D24:D25"/>
    <mergeCell ref="H24:H25"/>
    <mergeCell ref="I24:I25"/>
    <mergeCell ref="C14:E14"/>
    <mergeCell ref="G14:L14"/>
    <mergeCell ref="B15:D16"/>
    <mergeCell ref="E15:F16"/>
    <mergeCell ref="G16:I16"/>
    <mergeCell ref="L19:L20"/>
    <mergeCell ref="K19:K20"/>
    <mergeCell ref="C21:C23"/>
    <mergeCell ref="D21:D23"/>
    <mergeCell ref="H21:H23"/>
    <mergeCell ref="L21:L23"/>
    <mergeCell ref="D19:D20"/>
    <mergeCell ref="I19:I20"/>
    <mergeCell ref="J17:L17"/>
    <mergeCell ref="E5:M8"/>
    <mergeCell ref="B37:M38"/>
    <mergeCell ref="M24:M25"/>
    <mergeCell ref="M26:M27"/>
    <mergeCell ref="G15:M15"/>
    <mergeCell ref="B9:M9"/>
    <mergeCell ref="J30:M30"/>
    <mergeCell ref="J16:L16"/>
    <mergeCell ref="M16:M18"/>
    <mergeCell ref="M19:M20"/>
    <mergeCell ref="M21:M23"/>
    <mergeCell ref="C19:C20"/>
    <mergeCell ref="H19:H20"/>
    <mergeCell ref="C13:E13"/>
    <mergeCell ref="G13:L13"/>
  </mergeCells>
  <pageMargins left="0" right="0" top="0" bottom="0" header="0" footer="0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031FA-348D-4698-AC95-5AAD0E7D3950}">
  <sheetPr codeName="Feuil8">
    <tabColor rgb="FF7030A0"/>
  </sheetPr>
  <dimension ref="A5:M42"/>
  <sheetViews>
    <sheetView showGridLines="0" view="pageLayout" topLeftCell="A7" zoomScale="96" zoomScaleNormal="100" zoomScalePageLayoutView="96" workbookViewId="0">
      <selection activeCell="K28" sqref="K28"/>
    </sheetView>
  </sheetViews>
  <sheetFormatPr baseColWidth="10" defaultColWidth="10.88671875" defaultRowHeight="14.4"/>
  <cols>
    <col min="1" max="1" width="4.6640625" style="5" customWidth="1"/>
    <col min="2" max="2" width="10.88671875" style="5"/>
    <col min="3" max="3" width="10.33203125" style="5" customWidth="1"/>
    <col min="4" max="4" width="16.5546875" style="5" customWidth="1"/>
    <col min="5" max="5" width="29.88671875" style="5" customWidth="1"/>
    <col min="6" max="6" width="10.88671875" style="5" customWidth="1"/>
    <col min="7" max="7" width="7.6640625" style="5" customWidth="1"/>
    <col min="8" max="8" width="6.88671875" style="5" customWidth="1"/>
    <col min="9" max="9" width="7.109375" style="5" customWidth="1"/>
    <col min="10" max="12" width="8.6640625" style="5" customWidth="1"/>
    <col min="13" max="13" width="12.6640625" style="5" customWidth="1"/>
    <col min="14" max="16384" width="10.88671875" style="5"/>
  </cols>
  <sheetData>
    <row r="5" spans="1:13">
      <c r="E5" s="288" t="s">
        <v>162</v>
      </c>
      <c r="F5" s="229"/>
      <c r="G5" s="229"/>
      <c r="H5" s="229"/>
      <c r="I5" s="229"/>
      <c r="J5" s="229"/>
      <c r="K5" s="229"/>
      <c r="L5" s="229"/>
      <c r="M5" s="229"/>
    </row>
    <row r="6" spans="1:13">
      <c r="E6" s="229"/>
      <c r="F6" s="229"/>
      <c r="G6" s="229"/>
      <c r="H6" s="229"/>
      <c r="I6" s="229"/>
      <c r="J6" s="229"/>
      <c r="K6" s="229"/>
      <c r="L6" s="229"/>
      <c r="M6" s="229"/>
    </row>
    <row r="7" spans="1:13">
      <c r="E7" s="229"/>
      <c r="F7" s="229"/>
      <c r="G7" s="229"/>
      <c r="H7" s="229"/>
      <c r="I7" s="229"/>
      <c r="J7" s="229"/>
      <c r="K7" s="229"/>
      <c r="L7" s="229"/>
      <c r="M7" s="229"/>
    </row>
    <row r="8" spans="1:13">
      <c r="E8" s="230"/>
      <c r="F8" s="230"/>
      <c r="G8" s="230"/>
      <c r="H8" s="230"/>
      <c r="I8" s="230"/>
      <c r="J8" s="230"/>
      <c r="K8" s="230"/>
      <c r="L8" s="230"/>
      <c r="M8" s="230"/>
    </row>
    <row r="9" spans="1:13" ht="18" customHeight="1">
      <c r="A9" s="37"/>
      <c r="B9" s="316" t="s">
        <v>35</v>
      </c>
      <c r="C9" s="317"/>
      <c r="D9" s="317"/>
      <c r="E9" s="317"/>
      <c r="F9" s="317"/>
      <c r="G9" s="317"/>
      <c r="H9" s="317"/>
      <c r="I9" s="317"/>
      <c r="J9" s="317"/>
      <c r="K9" s="317"/>
      <c r="L9" s="317"/>
      <c r="M9" s="318"/>
    </row>
    <row r="10" spans="1:13" ht="15" customHeight="1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1:13" ht="15" customHeight="1">
      <c r="B11" s="6" t="s">
        <v>36</v>
      </c>
      <c r="C11" s="291" t="str">
        <f>'SEMESTRE N°1'!A16</f>
        <v>DJIETCHA NTIETCHI Pascale Floresse</v>
      </c>
      <c r="D11" s="292"/>
      <c r="E11" s="292"/>
      <c r="F11" s="6" t="s">
        <v>37</v>
      </c>
      <c r="G11" s="294" t="str">
        <f>A42</f>
        <v>Licence Pro. Informatique-1ère année Tronc commun</v>
      </c>
      <c r="H11" s="294"/>
      <c r="I11" s="294"/>
      <c r="J11" s="294"/>
      <c r="K11" s="294"/>
      <c r="L11" s="294"/>
    </row>
    <row r="12" spans="1:13" ht="15" customHeight="1">
      <c r="B12" s="246" t="s">
        <v>38</v>
      </c>
      <c r="C12" s="246"/>
      <c r="D12" s="295">
        <f>'SEMESTRE N°1'!B16</f>
        <v>38438</v>
      </c>
      <c r="E12" s="294"/>
      <c r="F12" s="6" t="s">
        <v>29</v>
      </c>
      <c r="G12" s="294" t="str">
        <f>'SEMESTRE N°1'!E16</f>
        <v>TC-1</v>
      </c>
      <c r="H12" s="294"/>
      <c r="I12" s="294"/>
      <c r="J12" s="294"/>
      <c r="K12" s="294"/>
      <c r="L12" s="294"/>
    </row>
    <row r="13" spans="1:13" ht="15" customHeight="1">
      <c r="B13" s="6" t="s">
        <v>39</v>
      </c>
      <c r="C13" s="291" t="str">
        <f>'SEMESTRE N°1'!C16</f>
        <v>Camerounaise</v>
      </c>
      <c r="D13" s="292"/>
      <c r="E13" s="292"/>
      <c r="F13" s="6" t="s">
        <v>40</v>
      </c>
      <c r="G13" s="249"/>
      <c r="H13" s="249"/>
      <c r="I13" s="249"/>
      <c r="J13" s="249"/>
      <c r="K13" s="249"/>
      <c r="L13" s="249"/>
    </row>
    <row r="14" spans="1:13" ht="15" customHeight="1">
      <c r="B14" s="6" t="s">
        <v>41</v>
      </c>
      <c r="C14" s="305" t="str">
        <f>'SEMESTRE N°1'!D16</f>
        <v>072024</v>
      </c>
      <c r="D14" s="294"/>
      <c r="E14" s="306"/>
      <c r="F14" s="6" t="s">
        <v>42</v>
      </c>
      <c r="G14" s="249"/>
      <c r="H14" s="249"/>
      <c r="I14" s="249"/>
      <c r="J14" s="249"/>
      <c r="K14" s="249"/>
      <c r="L14" s="249"/>
    </row>
    <row r="15" spans="1:13">
      <c r="B15" s="281" t="s">
        <v>43</v>
      </c>
      <c r="C15" s="281"/>
      <c r="D15" s="281"/>
      <c r="E15" s="282" t="s">
        <v>17</v>
      </c>
      <c r="F15" s="283"/>
      <c r="G15" s="240" t="s">
        <v>44</v>
      </c>
      <c r="H15" s="240"/>
      <c r="I15" s="240"/>
      <c r="J15" s="240"/>
      <c r="K15" s="240"/>
      <c r="L15" s="240"/>
      <c r="M15" s="240"/>
    </row>
    <row r="16" spans="1:13">
      <c r="B16" s="281"/>
      <c r="C16" s="281"/>
      <c r="D16" s="281"/>
      <c r="E16" s="282"/>
      <c r="F16" s="283"/>
      <c r="G16" s="240" t="s">
        <v>83</v>
      </c>
      <c r="H16" s="240"/>
      <c r="I16" s="240"/>
      <c r="J16" s="256" t="s">
        <v>46</v>
      </c>
      <c r="K16" s="257"/>
      <c r="L16" s="257"/>
      <c r="M16" s="258" t="s">
        <v>47</v>
      </c>
    </row>
    <row r="17" spans="2:13" ht="15" customHeight="1">
      <c r="B17" s="233" t="s">
        <v>48</v>
      </c>
      <c r="C17" s="273" t="s">
        <v>49</v>
      </c>
      <c r="D17" s="273"/>
      <c r="E17" s="272" t="s">
        <v>49</v>
      </c>
      <c r="F17" s="272" t="s">
        <v>50</v>
      </c>
      <c r="G17" s="2" t="s">
        <v>51</v>
      </c>
      <c r="H17" s="272" t="s">
        <v>52</v>
      </c>
      <c r="I17" s="272"/>
      <c r="J17" s="261" t="s">
        <v>17</v>
      </c>
      <c r="K17" s="261"/>
      <c r="L17" s="262"/>
      <c r="M17" s="259"/>
    </row>
    <row r="18" spans="2:13">
      <c r="B18" s="234"/>
      <c r="C18" s="272"/>
      <c r="D18" s="274"/>
      <c r="E18" s="272"/>
      <c r="F18" s="272"/>
      <c r="G18" s="60" t="s">
        <v>53</v>
      </c>
      <c r="H18" s="60" t="s">
        <v>53</v>
      </c>
      <c r="I18" s="60" t="s">
        <v>50</v>
      </c>
      <c r="J18" s="87" t="s">
        <v>53</v>
      </c>
      <c r="K18" s="87" t="s">
        <v>53</v>
      </c>
      <c r="L18" s="89" t="s">
        <v>50</v>
      </c>
      <c r="M18" s="260"/>
    </row>
    <row r="19" spans="2:13" ht="15" customHeight="1">
      <c r="B19" s="234"/>
      <c r="C19" s="243" t="s">
        <v>54</v>
      </c>
      <c r="D19" s="268" t="s">
        <v>55</v>
      </c>
      <c r="E19" s="118" t="s">
        <v>56</v>
      </c>
      <c r="F19" s="9">
        <v>3</v>
      </c>
      <c r="G19" s="92">
        <f>[1]BULL_N6!G19</f>
        <v>9.1999999999999993</v>
      </c>
      <c r="H19" s="241">
        <f>IF(AND(G19&gt;=7, G20&gt;=7), ROUND(((F19*G19) + (F20*G20)) / (F19 + F20), 2), 0)</f>
        <v>13.35</v>
      </c>
      <c r="I19" s="241">
        <f>IF(H19&gt;9.99,(F19+F20),0)</f>
        <v>6</v>
      </c>
      <c r="J19" s="93">
        <f>IF(AND(G19&lt;10, H19&lt;10), 'SEMESTRE N°1'!G16, IF(AND(G19&gt;=10, H19&gt;=10), G19, IF(AND(G19&gt;=10, H19&lt;10), G19, IF(AND(G19&lt;10, H19&gt;=10), G19, ""))))</f>
        <v>9.1999999999999993</v>
      </c>
      <c r="K19" s="232">
        <f>IF(AND(J19&gt;=7, J20&gt;=7), ROUND(((F19*J19) + (F20*J20)) / (F19 + F20), 2), 0)</f>
        <v>13.35</v>
      </c>
      <c r="L19" s="232">
        <f>IF(K19&gt;9.99,(F19+F20),0)</f>
        <v>6</v>
      </c>
      <c r="M19" s="263" t="str">
        <f>IF(K19&gt;9.99,"Validé","Non validé")</f>
        <v>Validé</v>
      </c>
    </row>
    <row r="20" spans="2:13" ht="15" customHeight="1">
      <c r="B20" s="234"/>
      <c r="C20" s="243"/>
      <c r="D20" s="269"/>
      <c r="E20" s="118" t="s">
        <v>57</v>
      </c>
      <c r="F20" s="9">
        <v>3</v>
      </c>
      <c r="G20" s="92">
        <f>[1]BULL_N6!G20</f>
        <v>17.5</v>
      </c>
      <c r="H20" s="242"/>
      <c r="I20" s="241"/>
      <c r="J20" s="93">
        <f>IF(AND(G20&lt;10, H19&lt;10), 'SEMESTRE N°1'!J16, IF(AND(G20&gt;=10, H19&gt;=10), G20, IF(AND(G20&gt;=10, H19&lt;10), G20, IF(AND(G20&lt;10, H19&gt;=10), G20, ""))))</f>
        <v>17.5</v>
      </c>
      <c r="K20" s="232"/>
      <c r="L20" s="232"/>
      <c r="M20" s="263"/>
    </row>
    <row r="21" spans="2:13" ht="19.5" customHeight="1">
      <c r="B21" s="234"/>
      <c r="C21" s="243" t="s">
        <v>58</v>
      </c>
      <c r="D21" s="268" t="s">
        <v>59</v>
      </c>
      <c r="E21" s="118" t="s">
        <v>169</v>
      </c>
      <c r="F21" s="9">
        <v>5</v>
      </c>
      <c r="G21" s="92">
        <f>[1]BULL_N6!G21</f>
        <v>14</v>
      </c>
      <c r="H21" s="241">
        <f>IF(AND(G21&gt;=7, G22&gt;=7, G23&gt;=7), ROUND(((F21*G21) + (F22*G22)+ (F23*G23)) / (F21 + F22+F23), 2), 0)</f>
        <v>0</v>
      </c>
      <c r="I21" s="241">
        <f>IF(H21&gt;9.99,(F21+F22+F23),0)</f>
        <v>0</v>
      </c>
      <c r="J21" s="159">
        <f>IF(AND(G21&lt;10, H21&lt;10), 'SEMESTRE N°1'!M16, IF(AND(G21&gt;=10, H21&gt;=10), G21, IF(AND(G21&gt;=10, H21&lt;10), G21, IF(AND(G21&lt;10, H21&gt;=10), G21, ""))))</f>
        <v>14</v>
      </c>
      <c r="K21" s="280">
        <f>IF(AND(J21&gt;=7, J22&gt;=7, J23&gt;=7), ROUND(((F21*J21) + (F22*J22)+ (F23*J23)) / (F21 + F22+F23), 2), 0)</f>
        <v>12.9</v>
      </c>
      <c r="L21" s="236">
        <f>IF(K21&gt;9.99,(F21+F22+F23),0)</f>
        <v>11</v>
      </c>
      <c r="M21" s="251" t="str">
        <f>IF(K21&gt;9.99,"Validé","Non validé")</f>
        <v>Validé</v>
      </c>
    </row>
    <row r="22" spans="2:13" ht="15" customHeight="1">
      <c r="B22" s="234"/>
      <c r="C22" s="243"/>
      <c r="D22" s="279"/>
      <c r="E22" s="118" t="s">
        <v>61</v>
      </c>
      <c r="F22" s="9">
        <v>3</v>
      </c>
      <c r="G22" s="92">
        <f>[1]BULL_N6!G22</f>
        <v>16.96</v>
      </c>
      <c r="H22" s="242"/>
      <c r="I22" s="241"/>
      <c r="J22" s="159">
        <f>IF(AND(G22&lt;10, H21&lt;10), 'SEMESTRE N°1'!P16, IF(AND(G22&gt;=10, H21&gt;=10), G22, IF(AND(G22&gt;=10, H21&lt;10), G22, IF(AND(G22&lt;10, H21&gt;=10), G22, ""))))</f>
        <v>16.96</v>
      </c>
      <c r="K22" s="280"/>
      <c r="L22" s="237"/>
      <c r="M22" s="252"/>
    </row>
    <row r="23" spans="2:13" ht="15" customHeight="1">
      <c r="B23" s="234"/>
      <c r="C23" s="243"/>
      <c r="D23" s="269"/>
      <c r="E23" s="118" t="s">
        <v>62</v>
      </c>
      <c r="F23" s="9">
        <v>3</v>
      </c>
      <c r="G23" s="92">
        <f>[1]BULL_N6!G23</f>
        <v>6.8</v>
      </c>
      <c r="H23" s="242"/>
      <c r="I23" s="241"/>
      <c r="J23" s="90">
        <f>IF(AND(G23&lt;10, H21&lt;10), 'SEMESTRE N°1'!S16, IF(AND(G23&gt;=10, H21&gt;=10), G23, IF(AND(G23&gt;=10, H21&lt;10), G23, IF(AND(G23&lt;10, H21&gt;=10), G23, ""))))</f>
        <v>7</v>
      </c>
      <c r="K23" s="280"/>
      <c r="L23" s="238"/>
      <c r="M23" s="253"/>
    </row>
    <row r="24" spans="2:13" ht="15" customHeight="1">
      <c r="B24" s="234"/>
      <c r="C24" s="243" t="s">
        <v>63</v>
      </c>
      <c r="D24" s="268" t="s">
        <v>64</v>
      </c>
      <c r="E24" s="118" t="s">
        <v>65</v>
      </c>
      <c r="F24" s="9">
        <v>4</v>
      </c>
      <c r="G24" s="92">
        <f>[1]BULL_N6!G24</f>
        <v>15.7</v>
      </c>
      <c r="H24" s="241">
        <f>IF(AND(G24&gt;=7, G25&gt;=7), ROUND(((F24*G24) + (F25*G25)) / (F24 + F25), 2), 0)</f>
        <v>16.350000000000001</v>
      </c>
      <c r="I24" s="241">
        <f>IF(H24&gt;9.99,(F24+F25),0)</f>
        <v>8</v>
      </c>
      <c r="J24" s="93">
        <f>IF(AND(G24&lt;10, H24&lt;10), 'SEMESTRE N°1'!V16, IF(AND(G24&gt;=10, H24&gt;=10), G24, IF(AND(G24&gt;=10, H24&lt;10), G24, IF(AND(G24&lt;10, H24&gt;=10), G24, ""))))</f>
        <v>15.7</v>
      </c>
      <c r="K24" s="231">
        <f>IF(AND(J24&gt;=7, J25&gt;=7), ROUND(((F24*J24) + (F25*J25)) / (F24 + F25), 2), 0)</f>
        <v>16.350000000000001</v>
      </c>
      <c r="L24" s="231">
        <f>IF(K24&gt;9.99,(F24+F25),0)</f>
        <v>8</v>
      </c>
      <c r="M24" s="254" t="str">
        <f>IF(K24&gt;9.99,"Validé","Non validé")</f>
        <v>Validé</v>
      </c>
    </row>
    <row r="25" spans="2:13" ht="15" customHeight="1">
      <c r="B25" s="234"/>
      <c r="C25" s="243"/>
      <c r="D25" s="269"/>
      <c r="E25" s="118" t="s">
        <v>66</v>
      </c>
      <c r="F25" s="9">
        <v>4</v>
      </c>
      <c r="G25" s="92">
        <f>[1]BULL_N6!G25</f>
        <v>17</v>
      </c>
      <c r="H25" s="242"/>
      <c r="I25" s="241"/>
      <c r="J25" s="93">
        <f>IF(AND(G25&lt;10, H24&lt;10), 'SEMESTRE N°1'!Y16, IF(AND(G25&gt;=10, H24&gt;=10), G25, IF(AND(G25&gt;=10, H24&lt;10), G25, IF(AND(G25&lt;10, H24&gt;=10), G25, ""))))</f>
        <v>17</v>
      </c>
      <c r="K25" s="299"/>
      <c r="L25" s="299"/>
      <c r="M25" s="255"/>
    </row>
    <row r="26" spans="2:13" ht="15" customHeight="1">
      <c r="B26" s="234"/>
      <c r="C26" s="243" t="s">
        <v>67</v>
      </c>
      <c r="D26" s="319" t="s">
        <v>68</v>
      </c>
      <c r="E26" s="118" t="s">
        <v>69</v>
      </c>
      <c r="F26" s="9">
        <v>2</v>
      </c>
      <c r="G26" s="92">
        <f>[1]BULL_N6!G26</f>
        <v>17</v>
      </c>
      <c r="H26" s="241">
        <f>IF(AND(G26&gt;=7, G27&gt;=7), ROUND(((F26*G26) + (F27*G27)) / (F26 + F27), 2), 0)</f>
        <v>17.989999999999998</v>
      </c>
      <c r="I26" s="241">
        <f>IF(H26&gt;9.99,(F26+F27),0)</f>
        <v>5</v>
      </c>
      <c r="J26" s="93">
        <f>IF(AND(G26&lt;10, H26&lt;10), 'SEMESTRE N°1'!AB16, IF(AND(G26&gt;=10, H26&gt;=10), G26, IF(AND(G26&gt;=10, H26&lt;10), G26, IF(AND(G26&lt;10, H26&gt;=10), G26, ""))))</f>
        <v>17</v>
      </c>
      <c r="K26" s="231">
        <f>IF(AND(J26&gt;=7, J27&gt;=7), ROUND(((F26*J26) + (F27*J27)) / (F26 + F27), 2), 0)</f>
        <v>17.989999999999998</v>
      </c>
      <c r="L26" s="231">
        <f>IF(K26&gt;9.99,(F26+F27),0)</f>
        <v>5</v>
      </c>
      <c r="M26" s="254" t="str">
        <f>IF(K26&gt;9.99,"Validé","Non validé")</f>
        <v>Validé</v>
      </c>
    </row>
    <row r="27" spans="2:13" ht="15.6">
      <c r="B27" s="234"/>
      <c r="C27" s="243"/>
      <c r="D27" s="320"/>
      <c r="E27" s="118" t="s">
        <v>70</v>
      </c>
      <c r="F27" s="9">
        <v>3</v>
      </c>
      <c r="G27" s="92">
        <f>[1]BULL_N6!G27</f>
        <v>18.648000000000003</v>
      </c>
      <c r="H27" s="242"/>
      <c r="I27" s="241"/>
      <c r="J27" s="93">
        <f>IF(AND(G27&lt;10, H26&lt;10), 'SEMESTRE N°1'!J16, IF(AND(G27&gt;=10, H26&gt;=10), G27, IF(AND(G27&gt;=10, H26&lt;10), G27, IF(AND(G27&lt;10, H26&gt;=10), G27, ""))))</f>
        <v>18.648000000000003</v>
      </c>
      <c r="K27" s="299"/>
      <c r="L27" s="232"/>
      <c r="M27" s="255"/>
    </row>
    <row r="28" spans="2:13">
      <c r="B28" s="234"/>
      <c r="C28" s="284" t="s">
        <v>71</v>
      </c>
      <c r="D28" s="285"/>
      <c r="E28" s="284"/>
      <c r="F28" s="19">
        <f>F19+F20+F21+F22+F23+F24+F25+F26+F27</f>
        <v>30</v>
      </c>
      <c r="G28" s="3"/>
      <c r="H28" s="117">
        <f>ROUND((H19+H21+H24+H26)/4,2)</f>
        <v>11.92</v>
      </c>
      <c r="I28" s="110">
        <f>I26+I24+I21+I19</f>
        <v>19</v>
      </c>
      <c r="J28" s="91"/>
      <c r="K28" s="106">
        <f>ROUND((K19+K21+K24+K26)/4,2)</f>
        <v>15.15</v>
      </c>
      <c r="L28" s="107">
        <f>SUM(L19:L27)</f>
        <v>30</v>
      </c>
      <c r="M28" s="88"/>
    </row>
    <row r="29" spans="2:13" ht="17.100000000000001" customHeight="1">
      <c r="C29" s="11"/>
      <c r="G29" s="11"/>
    </row>
    <row r="30" spans="2:13" ht="17.100000000000001" customHeight="1">
      <c r="B30" s="266" t="s">
        <v>72</v>
      </c>
      <c r="C30" s="267"/>
      <c r="D30" s="21">
        <f>L26+L24+L21+L19</f>
        <v>30</v>
      </c>
      <c r="E30" s="12"/>
      <c r="F30" s="13"/>
      <c r="G30" s="14"/>
      <c r="H30" s="15"/>
      <c r="I30" s="15"/>
      <c r="J30" s="275" t="s">
        <v>73</v>
      </c>
      <c r="K30" s="275"/>
      <c r="L30" s="275"/>
      <c r="M30" s="275"/>
    </row>
    <row r="31" spans="2:13" ht="17.100000000000001" customHeight="1">
      <c r="B31" s="266" t="s">
        <v>74</v>
      </c>
      <c r="C31" s="267"/>
      <c r="D31" s="22" t="str">
        <f>IF(D30=F28,"Semestre validé","Semestre non validé")</f>
        <v>Semestre validé</v>
      </c>
      <c r="E31" s="13"/>
      <c r="F31" s="13"/>
      <c r="G31" s="16"/>
      <c r="H31" s="36"/>
      <c r="I31" s="36"/>
      <c r="J31" s="36"/>
      <c r="K31" s="36"/>
      <c r="L31" s="36"/>
      <c r="M31" s="36"/>
    </row>
    <row r="32" spans="2:13" ht="17.100000000000001" customHeight="1">
      <c r="B32" s="266" t="s">
        <v>75</v>
      </c>
      <c r="C32" s="267"/>
      <c r="D32" s="1">
        <v>0</v>
      </c>
      <c r="E32" s="13"/>
      <c r="F32" s="13"/>
      <c r="G32" s="16"/>
      <c r="H32" s="13"/>
      <c r="I32" s="13"/>
      <c r="J32" s="13"/>
    </row>
    <row r="33" spans="1:13" ht="15" customHeight="1">
      <c r="B33" s="113"/>
      <c r="C33" s="113"/>
      <c r="D33" s="1"/>
      <c r="E33" s="13"/>
      <c r="F33" s="13"/>
      <c r="G33" s="16"/>
      <c r="H33" s="13"/>
      <c r="I33" s="13"/>
      <c r="J33" s="13"/>
    </row>
    <row r="34" spans="1:13" ht="12.75" customHeight="1">
      <c r="B34" s="113"/>
      <c r="C34" s="113"/>
      <c r="D34" s="1"/>
      <c r="E34" s="13"/>
      <c r="F34" s="13"/>
      <c r="G34" s="16"/>
      <c r="H34" s="13"/>
      <c r="I34" s="13"/>
      <c r="J34" s="13"/>
    </row>
    <row r="35" spans="1:13" ht="12.75" customHeight="1">
      <c r="C35" s="16"/>
      <c r="D35" s="13"/>
      <c r="E35" s="13"/>
      <c r="F35" s="13"/>
      <c r="G35" s="16"/>
      <c r="H35" s="13"/>
      <c r="I35" s="13"/>
      <c r="J35" s="13"/>
      <c r="M35" s="132"/>
    </row>
    <row r="36" spans="1:13" ht="17.100000000000001" customHeight="1">
      <c r="G36" s="275" t="s">
        <v>76</v>
      </c>
      <c r="H36" s="275"/>
      <c r="I36" s="275"/>
      <c r="J36" s="275"/>
      <c r="K36" s="275"/>
      <c r="L36" s="275"/>
      <c r="M36" s="327"/>
    </row>
    <row r="37" spans="1:13" ht="15" customHeight="1">
      <c r="B37" s="308" t="s">
        <v>77</v>
      </c>
      <c r="C37" s="308"/>
      <c r="D37" s="308"/>
      <c r="E37" s="308"/>
      <c r="F37" s="308"/>
      <c r="G37" s="308"/>
      <c r="H37" s="308"/>
      <c r="I37" s="308"/>
      <c r="J37" s="308"/>
      <c r="K37" s="308"/>
      <c r="L37" s="308"/>
      <c r="M37" s="308"/>
    </row>
    <row r="38" spans="1:13" ht="15.75" customHeight="1">
      <c r="B38" s="308"/>
      <c r="C38" s="308"/>
      <c r="D38" s="308"/>
      <c r="E38" s="308"/>
      <c r="F38" s="308"/>
      <c r="G38" s="308"/>
      <c r="H38" s="308"/>
      <c r="I38" s="308"/>
      <c r="J38" s="308"/>
      <c r="K38" s="308"/>
      <c r="L38" s="308"/>
      <c r="M38" s="308"/>
    </row>
    <row r="39" spans="1:13" ht="12" customHeight="1"/>
    <row r="41" spans="1:13" ht="13.5" customHeight="1"/>
    <row r="42" spans="1:13" hidden="1">
      <c r="A42" s="18" t="s">
        <v>78</v>
      </c>
    </row>
  </sheetData>
  <mergeCells count="58">
    <mergeCell ref="B37:M38"/>
    <mergeCell ref="K24:K25"/>
    <mergeCell ref="L24:L25"/>
    <mergeCell ref="I21:I23"/>
    <mergeCell ref="K21:K23"/>
    <mergeCell ref="B32:C32"/>
    <mergeCell ref="L26:L27"/>
    <mergeCell ref="C28:E28"/>
    <mergeCell ref="B30:C30"/>
    <mergeCell ref="C26:C27"/>
    <mergeCell ref="D26:D27"/>
    <mergeCell ref="H26:H27"/>
    <mergeCell ref="I26:I27"/>
    <mergeCell ref="K26:K27"/>
    <mergeCell ref="B31:C31"/>
    <mergeCell ref="M24:M25"/>
    <mergeCell ref="K19:K20"/>
    <mergeCell ref="C21:C23"/>
    <mergeCell ref="D21:D23"/>
    <mergeCell ref="H21:H23"/>
    <mergeCell ref="L21:L23"/>
    <mergeCell ref="C11:E11"/>
    <mergeCell ref="G11:L11"/>
    <mergeCell ref="B12:C12"/>
    <mergeCell ref="D12:E12"/>
    <mergeCell ref="G12:L12"/>
    <mergeCell ref="G14:L14"/>
    <mergeCell ref="B15:D16"/>
    <mergeCell ref="E15:F16"/>
    <mergeCell ref="G16:I16"/>
    <mergeCell ref="B17:B28"/>
    <mergeCell ref="C17:D18"/>
    <mergeCell ref="E17:E18"/>
    <mergeCell ref="F17:F18"/>
    <mergeCell ref="H17:I17"/>
    <mergeCell ref="D19:D20"/>
    <mergeCell ref="I19:I20"/>
    <mergeCell ref="C24:C25"/>
    <mergeCell ref="D24:D25"/>
    <mergeCell ref="H24:H25"/>
    <mergeCell ref="I24:I25"/>
    <mergeCell ref="L19:L20"/>
    <mergeCell ref="J17:L17"/>
    <mergeCell ref="E5:M8"/>
    <mergeCell ref="G36:M36"/>
    <mergeCell ref="M26:M27"/>
    <mergeCell ref="G15:M15"/>
    <mergeCell ref="B9:M9"/>
    <mergeCell ref="J30:M30"/>
    <mergeCell ref="J16:L16"/>
    <mergeCell ref="M16:M18"/>
    <mergeCell ref="M19:M20"/>
    <mergeCell ref="M21:M23"/>
    <mergeCell ref="C19:C20"/>
    <mergeCell ref="H19:H20"/>
    <mergeCell ref="C13:E13"/>
    <mergeCell ref="G13:L13"/>
    <mergeCell ref="C14:E14"/>
  </mergeCells>
  <pageMargins left="0" right="0" top="0" bottom="0" header="0" footer="0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D408-5BB3-4E3B-8210-203DC7F28DD9}">
  <sheetPr codeName="Feuil9">
    <tabColor rgb="FF7030A0"/>
  </sheetPr>
  <dimension ref="A5:N42"/>
  <sheetViews>
    <sheetView showGridLines="0" view="pageLayout" topLeftCell="A10" zoomScaleNormal="100" workbookViewId="0">
      <selection activeCell="J26" sqref="J26"/>
    </sheetView>
  </sheetViews>
  <sheetFormatPr baseColWidth="10" defaultColWidth="10.88671875" defaultRowHeight="14.4"/>
  <cols>
    <col min="1" max="1" width="4.6640625" style="5" customWidth="1"/>
    <col min="2" max="2" width="10.88671875" style="5"/>
    <col min="3" max="3" width="10.109375" style="5" customWidth="1"/>
    <col min="4" max="4" width="15.88671875" style="5" customWidth="1"/>
    <col min="5" max="5" width="30.6640625" style="5" customWidth="1"/>
    <col min="6" max="6" width="11.109375" style="5" customWidth="1"/>
    <col min="7" max="7" width="7.6640625" style="5" customWidth="1"/>
    <col min="8" max="8" width="8.109375" style="5" customWidth="1"/>
    <col min="9" max="9" width="8.44140625" style="5" customWidth="1"/>
    <col min="10" max="10" width="6.6640625" style="5" customWidth="1"/>
    <col min="11" max="11" width="6.44140625" style="5" customWidth="1"/>
    <col min="12" max="12" width="6.6640625" style="5" customWidth="1"/>
    <col min="13" max="13" width="10.6640625" style="5" customWidth="1"/>
    <col min="14" max="14" width="15.109375" style="5" customWidth="1"/>
    <col min="15" max="16384" width="10.88671875" style="5"/>
  </cols>
  <sheetData>
    <row r="5" spans="1:14" ht="15" customHeight="1">
      <c r="E5" s="229" t="s">
        <v>84</v>
      </c>
      <c r="F5" s="229"/>
      <c r="G5" s="229"/>
      <c r="H5" s="229"/>
      <c r="I5" s="229"/>
      <c r="J5" s="229"/>
      <c r="K5" s="229"/>
      <c r="L5" s="229"/>
      <c r="M5" s="229"/>
    </row>
    <row r="6" spans="1:14">
      <c r="E6" s="229"/>
      <c r="F6" s="229"/>
      <c r="G6" s="229"/>
      <c r="H6" s="229"/>
      <c r="I6" s="229"/>
      <c r="J6" s="229"/>
      <c r="K6" s="229"/>
      <c r="L6" s="229"/>
      <c r="M6" s="229"/>
    </row>
    <row r="7" spans="1:14">
      <c r="E7" s="229"/>
      <c r="F7" s="229"/>
      <c r="G7" s="229"/>
      <c r="H7" s="229"/>
      <c r="I7" s="229"/>
      <c r="J7" s="229"/>
      <c r="K7" s="229"/>
      <c r="L7" s="229"/>
      <c r="M7" s="229"/>
    </row>
    <row r="8" spans="1:14">
      <c r="E8" s="230"/>
      <c r="F8" s="230"/>
      <c r="G8" s="230"/>
      <c r="H8" s="230"/>
      <c r="I8" s="230"/>
      <c r="J8" s="230"/>
      <c r="K8" s="230"/>
      <c r="L8" s="230"/>
      <c r="M8" s="230"/>
    </row>
    <row r="9" spans="1:14" ht="18" customHeight="1">
      <c r="A9" s="37"/>
      <c r="B9" s="316" t="s">
        <v>35</v>
      </c>
      <c r="C9" s="317"/>
      <c r="D9" s="317"/>
      <c r="E9" s="317"/>
      <c r="F9" s="317"/>
      <c r="G9" s="317"/>
      <c r="H9" s="317"/>
      <c r="I9" s="317"/>
      <c r="J9" s="317"/>
      <c r="K9" s="317"/>
      <c r="L9" s="317"/>
      <c r="M9" s="318"/>
      <c r="N9" s="37"/>
    </row>
    <row r="10" spans="1:14" ht="12.75" customHeight="1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1:14" ht="15" customHeight="1">
      <c r="B11" s="6" t="s">
        <v>36</v>
      </c>
      <c r="C11" s="291" t="str">
        <f>'SEMESTRE N°1'!A17</f>
        <v>EBAYI-AKOUANGOU Hansel</v>
      </c>
      <c r="D11" s="292"/>
      <c r="E11" s="292"/>
      <c r="F11" s="6" t="s">
        <v>88</v>
      </c>
      <c r="G11" s="294" t="str">
        <f>A42</f>
        <v>Licence Pro. Informatique-1ère année Tronc commun</v>
      </c>
      <c r="H11" s="294"/>
      <c r="I11" s="294"/>
      <c r="J11" s="294"/>
      <c r="K11" s="294"/>
      <c r="L11" s="294"/>
    </row>
    <row r="12" spans="1:14" ht="15" customHeight="1">
      <c r="B12" s="246" t="s">
        <v>38</v>
      </c>
      <c r="C12" s="246"/>
      <c r="D12" s="328">
        <f>'SEMESTRE N°1'!B17</f>
        <v>38726</v>
      </c>
      <c r="E12" s="329"/>
      <c r="F12" s="6" t="s">
        <v>87</v>
      </c>
      <c r="G12" s="294" t="str">
        <f>'SEMESTRE N°1'!E17</f>
        <v>TC-1</v>
      </c>
      <c r="H12" s="294"/>
      <c r="I12" s="294"/>
      <c r="J12" s="294"/>
      <c r="K12" s="294"/>
      <c r="L12" s="294"/>
    </row>
    <row r="13" spans="1:14" ht="15" customHeight="1">
      <c r="B13" s="6" t="s">
        <v>39</v>
      </c>
      <c r="C13" s="291" t="str">
        <f>'SEMESTRE N°1'!C17</f>
        <v>Gabonaise</v>
      </c>
      <c r="D13" s="292"/>
      <c r="E13" s="292"/>
      <c r="F13" s="6" t="s">
        <v>86</v>
      </c>
      <c r="G13" s="249"/>
      <c r="H13" s="249"/>
      <c r="I13" s="249"/>
      <c r="J13" s="249"/>
      <c r="K13" s="249"/>
      <c r="L13" s="249"/>
    </row>
    <row r="14" spans="1:14" ht="15" customHeight="1">
      <c r="A14" s="131"/>
      <c r="B14" s="6" t="s">
        <v>41</v>
      </c>
      <c r="C14" s="305" t="str">
        <f>'SEMESTRE N°1'!D17</f>
        <v>082024</v>
      </c>
      <c r="D14" s="294"/>
      <c r="E14" s="306"/>
      <c r="F14" s="6" t="s">
        <v>85</v>
      </c>
      <c r="G14" s="249"/>
      <c r="H14" s="249"/>
      <c r="I14" s="249"/>
      <c r="J14" s="249"/>
      <c r="K14" s="249"/>
      <c r="L14" s="249"/>
    </row>
    <row r="15" spans="1:14">
      <c r="A15" s="131"/>
      <c r="B15" s="281" t="s">
        <v>43</v>
      </c>
      <c r="C15" s="281"/>
      <c r="D15" s="281"/>
      <c r="E15" s="282" t="s">
        <v>17</v>
      </c>
      <c r="F15" s="283"/>
      <c r="G15" s="240" t="s">
        <v>44</v>
      </c>
      <c r="H15" s="240"/>
      <c r="I15" s="240"/>
      <c r="J15" s="240"/>
      <c r="K15" s="240"/>
      <c r="L15" s="240"/>
      <c r="M15" s="240"/>
    </row>
    <row r="16" spans="1:14">
      <c r="A16" s="131"/>
      <c r="B16" s="281"/>
      <c r="C16" s="281"/>
      <c r="D16" s="281"/>
      <c r="E16" s="282"/>
      <c r="F16" s="283"/>
      <c r="G16" s="240" t="s">
        <v>83</v>
      </c>
      <c r="H16" s="240"/>
      <c r="I16" s="240"/>
      <c r="J16" s="256" t="s">
        <v>46</v>
      </c>
      <c r="K16" s="257"/>
      <c r="L16" s="257"/>
      <c r="M16" s="258" t="s">
        <v>47</v>
      </c>
    </row>
    <row r="17" spans="1:13" ht="15" customHeight="1">
      <c r="A17" s="131"/>
      <c r="B17" s="233" t="s">
        <v>48</v>
      </c>
      <c r="C17" s="273" t="s">
        <v>49</v>
      </c>
      <c r="D17" s="273"/>
      <c r="E17" s="272" t="s">
        <v>49</v>
      </c>
      <c r="F17" s="272" t="s">
        <v>50</v>
      </c>
      <c r="G17" s="2" t="s">
        <v>51</v>
      </c>
      <c r="H17" s="272" t="s">
        <v>52</v>
      </c>
      <c r="I17" s="272"/>
      <c r="J17" s="261" t="s">
        <v>17</v>
      </c>
      <c r="K17" s="261"/>
      <c r="L17" s="262"/>
      <c r="M17" s="259"/>
    </row>
    <row r="18" spans="1:13">
      <c r="A18" s="131"/>
      <c r="B18" s="234"/>
      <c r="C18" s="272"/>
      <c r="D18" s="274"/>
      <c r="E18" s="272"/>
      <c r="F18" s="272"/>
      <c r="G18" s="60" t="s">
        <v>53</v>
      </c>
      <c r="H18" s="60" t="s">
        <v>53</v>
      </c>
      <c r="I18" s="60" t="s">
        <v>50</v>
      </c>
      <c r="J18" s="87" t="s">
        <v>53</v>
      </c>
      <c r="K18" s="87" t="s">
        <v>53</v>
      </c>
      <c r="L18" s="89" t="s">
        <v>50</v>
      </c>
      <c r="M18" s="260"/>
    </row>
    <row r="19" spans="1:13" ht="15" customHeight="1">
      <c r="A19" s="131"/>
      <c r="B19" s="234"/>
      <c r="C19" s="243" t="s">
        <v>54</v>
      </c>
      <c r="D19" s="268" t="s">
        <v>55</v>
      </c>
      <c r="E19" s="118" t="s">
        <v>56</v>
      </c>
      <c r="F19" s="9">
        <v>3</v>
      </c>
      <c r="G19" s="92">
        <f>[1]BULL_N7!G19</f>
        <v>0.4</v>
      </c>
      <c r="H19" s="241">
        <f>IF(AND(G19&gt;=7, G20&gt;=7), ROUND(((F19*G19) + (F20*G20)) / (F19 + F20), 2), 0)</f>
        <v>0</v>
      </c>
      <c r="I19" s="241">
        <f>IF(H19&gt;9.99,(F19+F20),0)</f>
        <v>0</v>
      </c>
      <c r="J19" s="90">
        <f>IF(AND(G19&lt;10, H19&lt;10), 'SEMESTRE N°1'!G15, IF(AND(G19&gt;=10, H19&gt;=10), G19, IF(AND(G19&gt;=10, H19&lt;10), G19, IF(AND(G19&lt;10, H19&gt;=10), G19, ""))))</f>
        <v>0</v>
      </c>
      <c r="K19" s="232">
        <f>IF(AND(J19&gt;=7, J20&gt;=7), ROUND(((F19*J19) + (F20*J20)) / (F19 + F20), 2), 0)</f>
        <v>0</v>
      </c>
      <c r="L19" s="235">
        <f>IF(K19&gt;9.99,(F19+F20),0)</f>
        <v>0</v>
      </c>
      <c r="M19" s="263" t="str">
        <f>IF(K19&gt;9.99,"Validé","Non validé")</f>
        <v>Non validé</v>
      </c>
    </row>
    <row r="20" spans="1:13" ht="15" customHeight="1">
      <c r="A20" s="131"/>
      <c r="B20" s="234"/>
      <c r="C20" s="243"/>
      <c r="D20" s="269"/>
      <c r="E20" s="118" t="s">
        <v>57</v>
      </c>
      <c r="F20" s="9">
        <v>3</v>
      </c>
      <c r="G20" s="92">
        <f>[1]BULL_N7!G20</f>
        <v>0</v>
      </c>
      <c r="H20" s="242"/>
      <c r="I20" s="241"/>
      <c r="J20" s="90">
        <f>IF(AND(G20&lt;10, H19&lt;10), 'SEMESTRE N°1'!J15, IF(AND(G20&gt;=10, H19&gt;=10), G20, IF(AND(G20&gt;=10, H19&lt;10), G20, IF(AND(G20&lt;10, H19&gt;=10), G20, ""))))</f>
        <v>0</v>
      </c>
      <c r="K20" s="232"/>
      <c r="L20" s="235"/>
      <c r="M20" s="263"/>
    </row>
    <row r="21" spans="1:13" ht="15" customHeight="1">
      <c r="A21" s="131"/>
      <c r="B21" s="234"/>
      <c r="C21" s="243" t="s">
        <v>58</v>
      </c>
      <c r="D21" s="268" t="s">
        <v>59</v>
      </c>
      <c r="E21" s="118" t="s">
        <v>60</v>
      </c>
      <c r="F21" s="9">
        <v>5</v>
      </c>
      <c r="G21" s="92">
        <f>[1]BULL_N7!G21</f>
        <v>0</v>
      </c>
      <c r="H21" s="241">
        <f>IF(AND(G21&gt;=7, G22&gt;=7, G23&gt;=7), ROUND(((F21*G21) + (F22*G22)+ (F23*G23)) / (F21 + F22+F23), 2), 0)</f>
        <v>0</v>
      </c>
      <c r="I21" s="241">
        <f>IF(H21&gt;9.99,(F21+F22+F23),0)</f>
        <v>0</v>
      </c>
      <c r="J21" s="90">
        <f>IF(AND(G21&lt;10, H21&lt;10), 'SEMESTRE N°1'!M15, IF(AND(G21&gt;=10, H21&gt;=10), G21, IF(AND(G21&gt;=10, H21&lt;10), G21, IF(AND(G21&lt;10, H21&gt;=10), G21, ""))))</f>
        <v>0</v>
      </c>
      <c r="K21" s="280">
        <f>IF(AND(J21&gt;=7, J22&gt;=7, J23&gt;=7), ROUND(((F21*J21) + (F22*J22)+ (F23*J23)) / (F21 + F22+F23), 2), 0)</f>
        <v>0</v>
      </c>
      <c r="L21" s="236">
        <f>IF(K21&gt;9.99,(F21+F22+F23),0)</f>
        <v>0</v>
      </c>
      <c r="M21" s="251" t="str">
        <f>IF(K21&gt;9.99,"Validé","Non validé")</f>
        <v>Non validé</v>
      </c>
    </row>
    <row r="22" spans="1:13" ht="15" customHeight="1">
      <c r="A22" s="131"/>
      <c r="B22" s="234"/>
      <c r="C22" s="243"/>
      <c r="D22" s="279"/>
      <c r="E22" s="118" t="s">
        <v>61</v>
      </c>
      <c r="F22" s="9">
        <v>3</v>
      </c>
      <c r="G22" s="92">
        <f>[1]BULL_N7!G22</f>
        <v>0</v>
      </c>
      <c r="H22" s="242"/>
      <c r="I22" s="241"/>
      <c r="J22" s="90">
        <f>IF(AND(G22&lt;10, H21&lt;10), 'SEMESTRE N°1'!P15, IF(AND(G22&gt;=10, H21&gt;=10), G22, IF(AND(G22&gt;=10, H21&lt;10), G22, IF(AND(G22&lt;10, H21&gt;=10), G22, ""))))</f>
        <v>0</v>
      </c>
      <c r="K22" s="280"/>
      <c r="L22" s="237"/>
      <c r="M22" s="252"/>
    </row>
    <row r="23" spans="1:13" ht="15" customHeight="1">
      <c r="A23" s="131"/>
      <c r="B23" s="234"/>
      <c r="C23" s="243"/>
      <c r="D23" s="269"/>
      <c r="E23" s="118" t="s">
        <v>62</v>
      </c>
      <c r="F23" s="9">
        <v>3</v>
      </c>
      <c r="G23" s="92">
        <f>[1]BULL_N7!G23</f>
        <v>0.60000000000000009</v>
      </c>
      <c r="H23" s="242"/>
      <c r="I23" s="241"/>
      <c r="J23" s="90">
        <f>IF(AND(G23&lt;10, H21&lt;10), 'SEMESTRE N°1'!J15, IF(AND(G23&gt;=10, H21&gt;=10), G23, IF(AND(G23&gt;=10, H21&lt;10), G23, IF(AND(G23&lt;10, H21&gt;=10), G23, ""))))</f>
        <v>0</v>
      </c>
      <c r="K23" s="280"/>
      <c r="L23" s="238"/>
      <c r="M23" s="253"/>
    </row>
    <row r="24" spans="1:13" ht="15" customHeight="1">
      <c r="A24" s="131"/>
      <c r="B24" s="234"/>
      <c r="C24" s="243" t="s">
        <v>63</v>
      </c>
      <c r="D24" s="268" t="s">
        <v>64</v>
      </c>
      <c r="E24" s="118" t="s">
        <v>65</v>
      </c>
      <c r="F24" s="9">
        <v>4</v>
      </c>
      <c r="G24" s="92">
        <f>[1]BULL_N7!G24</f>
        <v>2.8000000000000003</v>
      </c>
      <c r="H24" s="241">
        <f>IF(AND(G24&gt;=7, G25&gt;=7), ROUND(((F24*G24) + (F25*G25)) / (F24 + F25), 2), 0)</f>
        <v>0</v>
      </c>
      <c r="I24" s="241">
        <f>IF(H24&gt;9.99,(F24+F25),0)</f>
        <v>0</v>
      </c>
      <c r="J24" s="90">
        <f>IF(AND(G24&lt;10, H24&lt;10), 'SEMESTRE N°1'!V15, IF(AND(G24&gt;=10, H24&gt;=10), G24, IF(AND(G24&gt;=10, H24&lt;10), G24, IF(AND(G24&lt;10, H24&gt;=10), G24, ""))))</f>
        <v>0</v>
      </c>
      <c r="K24" s="286">
        <f>IF(AND(J24&gt;=7, J25&gt;=7), ROUND(((F24*J24) + (F25*J25)) / (F24 + F25), 2), 0)</f>
        <v>0</v>
      </c>
      <c r="L24" s="286">
        <f>IF(K24&gt;9.99,(F24+F25),0)</f>
        <v>0</v>
      </c>
      <c r="M24" s="254" t="str">
        <f>IF(K24&gt;9.99,"Validé","Non validé")</f>
        <v>Non validé</v>
      </c>
    </row>
    <row r="25" spans="1:13" ht="15" customHeight="1">
      <c r="A25" s="131"/>
      <c r="B25" s="234"/>
      <c r="C25" s="243"/>
      <c r="D25" s="269"/>
      <c r="E25" s="118" t="s">
        <v>66</v>
      </c>
      <c r="F25" s="9">
        <v>4</v>
      </c>
      <c r="G25" s="92">
        <f>[1]BULL_N7!G25</f>
        <v>6.1000000000000005</v>
      </c>
      <c r="H25" s="242"/>
      <c r="I25" s="241"/>
      <c r="J25" s="90">
        <f>IF(AND(G25&lt;10, H24&lt;10), 'SEMESTRE N°1'!Y15, IF(AND(G25&gt;=10, H24&gt;=10), G25, IF(AND(G25&gt;=10, H24&lt;10), G25, IF(AND(G25&lt;10, H24&gt;=10), G25, ""))))</f>
        <v>0</v>
      </c>
      <c r="K25" s="287"/>
      <c r="L25" s="287"/>
      <c r="M25" s="255"/>
    </row>
    <row r="26" spans="1:13" ht="15" customHeight="1">
      <c r="A26" s="131"/>
      <c r="B26" s="234"/>
      <c r="C26" s="243" t="s">
        <v>67</v>
      </c>
      <c r="D26" s="268" t="s">
        <v>68</v>
      </c>
      <c r="E26" s="118" t="s">
        <v>69</v>
      </c>
      <c r="F26" s="9">
        <v>2</v>
      </c>
      <c r="G26" s="92">
        <f>[1]BULL_N7!G26</f>
        <v>1.8</v>
      </c>
      <c r="H26" s="241">
        <f>IF(AND(G26&gt;=7, G27&gt;=7), ROUND(((F26*G26) + (F27*G27)) / (F26 + F27), 2), 0)</f>
        <v>0</v>
      </c>
      <c r="I26" s="241">
        <f>IF(H26&gt;9.99,(F26+F27),0)</f>
        <v>0</v>
      </c>
      <c r="J26" s="93">
        <f>IF(AND(G26&lt;10, H26&lt;10), 'SEMESTRE N°1'!AB25, IF(AND(G26&gt;=10, H26&gt;=10), G26, IF(AND(G26&gt;=10, H26&lt;10), G26, IF(AND(G26&lt;10, H26&gt;=10), G26, ""))))</f>
        <v>0</v>
      </c>
      <c r="K26" s="231">
        <f>IF(AND(J26&gt;=7, J27&gt;=7), ROUND(((F26*J26) + (F27*J27)) / (F26 + F27), 2), 0)</f>
        <v>0</v>
      </c>
      <c r="L26" s="231">
        <f>IF(K26&gt;9.99,(F26+F27),0)</f>
        <v>0</v>
      </c>
      <c r="M26" s="254" t="str">
        <f>IF(K26&gt;9.99,"Validé","Non validé")</f>
        <v>Non validé</v>
      </c>
    </row>
    <row r="27" spans="1:13" ht="21.9" customHeight="1">
      <c r="A27" s="131"/>
      <c r="B27" s="234"/>
      <c r="C27" s="243"/>
      <c r="D27" s="269"/>
      <c r="E27" s="118" t="s">
        <v>70</v>
      </c>
      <c r="F27" s="9">
        <v>3</v>
      </c>
      <c r="G27" s="92">
        <f>[1]BULL_N7!G27</f>
        <v>2.7</v>
      </c>
      <c r="H27" s="242"/>
      <c r="I27" s="241"/>
      <c r="J27" s="93">
        <f>IF(AND(G27&lt;10, H26&lt;10), 'SEMESTRE N°1'!J25, IF(AND(G27&gt;=10, H26&gt;=10), G27, IF(AND(G27&gt;=10, H26&lt;10), G27, IF(AND(G27&lt;10, H26&gt;=10), G27, ""))))</f>
        <v>0</v>
      </c>
      <c r="K27" s="299"/>
      <c r="L27" s="232"/>
      <c r="M27" s="255"/>
    </row>
    <row r="28" spans="1:13" ht="15.75" customHeight="1">
      <c r="A28" s="131"/>
      <c r="B28" s="234"/>
      <c r="C28" s="284" t="s">
        <v>71</v>
      </c>
      <c r="D28" s="285"/>
      <c r="E28" s="284"/>
      <c r="F28" s="19">
        <f>F19+F20+F21+F22+F23+F24+F25+F26+F27</f>
        <v>30</v>
      </c>
      <c r="G28" s="3"/>
      <c r="H28" s="117">
        <f>ROUND((H19+H21+H24+H26)/4,2)</f>
        <v>0</v>
      </c>
      <c r="I28" s="110">
        <f>I26+I24+I21+I19</f>
        <v>0</v>
      </c>
      <c r="J28" s="91"/>
      <c r="K28" s="106">
        <f>ROUND((K19+K21+K24+K26)/4,2)</f>
        <v>0</v>
      </c>
      <c r="L28" s="107">
        <f>SUM(L19:L27)</f>
        <v>0</v>
      </c>
      <c r="M28" s="88"/>
    </row>
    <row r="29" spans="1:13">
      <c r="A29" s="131"/>
      <c r="C29" s="11"/>
      <c r="G29" s="11"/>
    </row>
    <row r="30" spans="1:13" ht="18">
      <c r="A30" s="131"/>
      <c r="B30" s="266" t="s">
        <v>72</v>
      </c>
      <c r="C30" s="267"/>
      <c r="D30" s="21">
        <f>I26+I24+I21+I19</f>
        <v>0</v>
      </c>
      <c r="E30" s="12"/>
      <c r="F30" s="13"/>
      <c r="G30" s="14"/>
      <c r="H30" s="15"/>
      <c r="I30" s="15"/>
      <c r="J30" s="275" t="s">
        <v>73</v>
      </c>
      <c r="K30" s="275"/>
      <c r="L30" s="275"/>
      <c r="M30" s="275"/>
    </row>
    <row r="31" spans="1:13" ht="15.6">
      <c r="A31" s="131"/>
      <c r="B31" s="266" t="s">
        <v>74</v>
      </c>
      <c r="C31" s="267"/>
      <c r="D31" s="22" t="str">
        <f>IF(D30=F28,"Semestre validé","Semestre non validé")</f>
        <v>Semestre non validé</v>
      </c>
      <c r="E31" s="13"/>
      <c r="F31" s="13"/>
      <c r="G31" s="16"/>
      <c r="H31" s="36"/>
      <c r="I31" s="36"/>
      <c r="J31" s="36"/>
      <c r="K31" s="36"/>
      <c r="L31" s="36"/>
      <c r="M31" s="36"/>
    </row>
    <row r="32" spans="1:13">
      <c r="A32" s="131"/>
      <c r="B32" s="266" t="s">
        <v>75</v>
      </c>
      <c r="C32" s="267"/>
      <c r="D32" s="1">
        <v>0</v>
      </c>
      <c r="E32" s="13"/>
      <c r="F32" s="13"/>
      <c r="G32" s="16"/>
      <c r="H32" s="13"/>
      <c r="I32" s="13"/>
      <c r="J32" s="13"/>
    </row>
    <row r="33" spans="1:14">
      <c r="A33" s="131"/>
      <c r="B33" s="59"/>
      <c r="C33" s="59"/>
      <c r="D33" s="1"/>
      <c r="E33" s="13"/>
      <c r="F33" s="13"/>
      <c r="G33" s="16"/>
      <c r="H33" s="13"/>
      <c r="I33" s="13"/>
      <c r="J33" s="13"/>
    </row>
    <row r="34" spans="1:14">
      <c r="B34" s="59"/>
      <c r="C34" s="59"/>
      <c r="D34" s="1"/>
      <c r="E34" s="13"/>
      <c r="F34" s="13"/>
      <c r="G34" s="16"/>
      <c r="H34" s="13"/>
      <c r="I34" s="13"/>
      <c r="J34" s="13"/>
    </row>
    <row r="35" spans="1:14">
      <c r="B35" s="59"/>
      <c r="C35" s="59"/>
      <c r="D35" s="1"/>
      <c r="E35" s="13"/>
      <c r="F35" s="13"/>
      <c r="G35" s="16"/>
      <c r="H35" s="13"/>
      <c r="I35" s="13"/>
      <c r="J35" s="13"/>
    </row>
    <row r="36" spans="1:14" ht="15.9" customHeight="1">
      <c r="B36" s="123"/>
      <c r="C36" s="123"/>
      <c r="D36" s="123"/>
      <c r="E36" s="123"/>
      <c r="F36" s="123"/>
      <c r="G36" s="275" t="s">
        <v>76</v>
      </c>
      <c r="H36" s="275"/>
      <c r="I36" s="275"/>
      <c r="J36" s="275"/>
      <c r="K36" s="275"/>
      <c r="L36" s="275"/>
      <c r="M36" s="275"/>
      <c r="N36" s="35"/>
    </row>
    <row r="37" spans="1:14" ht="14.1" customHeight="1">
      <c r="B37" s="308" t="s">
        <v>77</v>
      </c>
      <c r="C37" s="308"/>
      <c r="D37" s="308"/>
      <c r="E37" s="308"/>
      <c r="F37" s="308"/>
      <c r="G37" s="308"/>
      <c r="H37" s="308"/>
      <c r="I37" s="308"/>
      <c r="J37" s="308"/>
      <c r="K37" s="308"/>
      <c r="L37" s="308"/>
      <c r="M37" s="308"/>
    </row>
    <row r="38" spans="1:14" ht="14.4" customHeight="1">
      <c r="B38" s="308"/>
      <c r="C38" s="308"/>
      <c r="D38" s="308"/>
      <c r="E38" s="308"/>
      <c r="F38" s="308"/>
      <c r="G38" s="308"/>
      <c r="H38" s="308"/>
      <c r="I38" s="308"/>
      <c r="J38" s="308"/>
      <c r="K38" s="308"/>
      <c r="L38" s="308"/>
      <c r="M38" s="308"/>
    </row>
    <row r="39" spans="1:14" ht="12" customHeight="1"/>
    <row r="41" spans="1:14" ht="13.5" customHeight="1"/>
    <row r="42" spans="1:14" hidden="1">
      <c r="A42" s="18" t="s">
        <v>78</v>
      </c>
    </row>
  </sheetData>
  <mergeCells count="58">
    <mergeCell ref="M24:M25"/>
    <mergeCell ref="L21:L23"/>
    <mergeCell ref="B37:M38"/>
    <mergeCell ref="K24:K25"/>
    <mergeCell ref="L24:L25"/>
    <mergeCell ref="I21:I23"/>
    <mergeCell ref="K21:K23"/>
    <mergeCell ref="B32:C32"/>
    <mergeCell ref="L26:L27"/>
    <mergeCell ref="C28:E28"/>
    <mergeCell ref="B30:C30"/>
    <mergeCell ref="C26:C27"/>
    <mergeCell ref="D26:D27"/>
    <mergeCell ref="H26:H27"/>
    <mergeCell ref="I26:I27"/>
    <mergeCell ref="K26:K27"/>
    <mergeCell ref="J17:L17"/>
    <mergeCell ref="B31:C31"/>
    <mergeCell ref="L19:L20"/>
    <mergeCell ref="C11:E11"/>
    <mergeCell ref="G11:L11"/>
    <mergeCell ref="B12:C12"/>
    <mergeCell ref="D12:E12"/>
    <mergeCell ref="G12:L12"/>
    <mergeCell ref="K19:K20"/>
    <mergeCell ref="B17:B28"/>
    <mergeCell ref="C17:D18"/>
    <mergeCell ref="E17:E18"/>
    <mergeCell ref="F17:F18"/>
    <mergeCell ref="H17:I17"/>
    <mergeCell ref="D19:D20"/>
    <mergeCell ref="I19:I20"/>
    <mergeCell ref="B15:D16"/>
    <mergeCell ref="E15:F16"/>
    <mergeCell ref="G16:I16"/>
    <mergeCell ref="D24:D25"/>
    <mergeCell ref="H24:H25"/>
    <mergeCell ref="I24:I25"/>
    <mergeCell ref="C21:C23"/>
    <mergeCell ref="D21:D23"/>
    <mergeCell ref="H21:H23"/>
    <mergeCell ref="C24:C25"/>
    <mergeCell ref="E5:M8"/>
    <mergeCell ref="G36:M36"/>
    <mergeCell ref="M26:M27"/>
    <mergeCell ref="G15:M15"/>
    <mergeCell ref="B9:M9"/>
    <mergeCell ref="J30:M30"/>
    <mergeCell ref="J16:L16"/>
    <mergeCell ref="M16:M18"/>
    <mergeCell ref="M19:M20"/>
    <mergeCell ref="M21:M23"/>
    <mergeCell ref="C19:C20"/>
    <mergeCell ref="H19:H20"/>
    <mergeCell ref="C13:E13"/>
    <mergeCell ref="G13:L13"/>
    <mergeCell ref="C14:E14"/>
    <mergeCell ref="G14:L14"/>
  </mergeCells>
  <pageMargins left="0" right="0" top="0" bottom="0" header="0" footer="0"/>
  <pageSetup paperSize="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40FAE-81D4-421A-9CDB-D2422A273F89}">
  <sheetPr codeName="Feuil10">
    <tabColor rgb="FF7030A0"/>
  </sheetPr>
  <dimension ref="A5:O38"/>
  <sheetViews>
    <sheetView showGridLines="0" view="pageLayout" topLeftCell="A23" zoomScaleNormal="100" workbookViewId="0">
      <selection activeCell="J19" sqref="J19:J27"/>
    </sheetView>
  </sheetViews>
  <sheetFormatPr baseColWidth="10" defaultColWidth="10.88671875" defaultRowHeight="14.4"/>
  <cols>
    <col min="1" max="1" width="4.6640625" style="5" customWidth="1"/>
    <col min="2" max="2" width="10.88671875" style="5"/>
    <col min="3" max="3" width="8.88671875" style="5" customWidth="1"/>
    <col min="4" max="4" width="15.6640625" style="5" customWidth="1"/>
    <col min="5" max="5" width="30.6640625" style="5" customWidth="1"/>
    <col min="6" max="6" width="10.6640625" style="5" customWidth="1"/>
    <col min="7" max="7" width="7.6640625" style="5" customWidth="1"/>
    <col min="8" max="8" width="6.109375" style="5" customWidth="1"/>
    <col min="9" max="9" width="6.44140625" style="5" customWidth="1"/>
    <col min="10" max="10" width="8.44140625" style="5" customWidth="1"/>
    <col min="11" max="11" width="8.33203125" style="5" customWidth="1"/>
    <col min="12" max="12" width="8.5546875" style="5" customWidth="1"/>
    <col min="13" max="13" width="10.6640625" style="5" customWidth="1"/>
    <col min="14" max="14" width="4.6640625" style="5" customWidth="1"/>
    <col min="15" max="16384" width="10.88671875" style="5"/>
  </cols>
  <sheetData>
    <row r="5" spans="1:13">
      <c r="E5" s="229" t="s">
        <v>84</v>
      </c>
      <c r="F5" s="229"/>
      <c r="G5" s="229"/>
      <c r="H5" s="229"/>
      <c r="I5" s="229"/>
      <c r="J5" s="229"/>
      <c r="K5" s="229"/>
      <c r="L5" s="229"/>
      <c r="M5" s="229"/>
    </row>
    <row r="6" spans="1:13">
      <c r="E6" s="229"/>
      <c r="F6" s="229"/>
      <c r="G6" s="229"/>
      <c r="H6" s="229"/>
      <c r="I6" s="229"/>
      <c r="J6" s="229"/>
      <c r="K6" s="229"/>
      <c r="L6" s="229"/>
      <c r="M6" s="229"/>
    </row>
    <row r="7" spans="1:13">
      <c r="E7" s="229"/>
      <c r="F7" s="229"/>
      <c r="G7" s="229"/>
      <c r="H7" s="229"/>
      <c r="I7" s="229"/>
      <c r="J7" s="229"/>
      <c r="K7" s="229"/>
      <c r="L7" s="229"/>
      <c r="M7" s="229"/>
    </row>
    <row r="8" spans="1:13">
      <c r="E8" s="230"/>
      <c r="F8" s="230"/>
      <c r="G8" s="230"/>
      <c r="H8" s="230"/>
      <c r="I8" s="230"/>
      <c r="J8" s="230"/>
      <c r="K8" s="230"/>
      <c r="L8" s="230"/>
      <c r="M8" s="230"/>
    </row>
    <row r="9" spans="1:13" ht="18" customHeight="1">
      <c r="B9" s="316" t="s">
        <v>35</v>
      </c>
      <c r="C9" s="317"/>
      <c r="D9" s="317"/>
      <c r="E9" s="317"/>
      <c r="F9" s="317"/>
      <c r="G9" s="317"/>
      <c r="H9" s="317"/>
      <c r="I9" s="317"/>
      <c r="J9" s="317"/>
      <c r="K9" s="317"/>
      <c r="L9" s="317"/>
      <c r="M9" s="318"/>
    </row>
    <row r="10" spans="1:13" ht="18" customHeight="1">
      <c r="A10" s="131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1:13" ht="15" customHeight="1">
      <c r="A11" s="131"/>
      <c r="B11" s="6" t="s">
        <v>36</v>
      </c>
      <c r="C11" s="291" t="str">
        <f>'SEMESTRE N°1'!A18</f>
        <v>EBENDE KWALLO Junior</v>
      </c>
      <c r="D11" s="292"/>
      <c r="E11" s="292"/>
      <c r="F11" s="6" t="s">
        <v>37</v>
      </c>
      <c r="G11" s="297" t="str">
        <f>B38</f>
        <v>Licence Pro. Informatique-1ère année Tronc commun</v>
      </c>
      <c r="H11" s="297"/>
      <c r="I11" s="297"/>
      <c r="J11" s="297"/>
      <c r="K11" s="297"/>
      <c r="L11" s="297"/>
    </row>
    <row r="12" spans="1:13" ht="15" customHeight="1">
      <c r="A12" s="131"/>
      <c r="B12" s="246" t="s">
        <v>38</v>
      </c>
      <c r="C12" s="246"/>
      <c r="D12" s="328">
        <f>'SEMESTRE N°1'!B18</f>
        <v>36574</v>
      </c>
      <c r="E12" s="329"/>
      <c r="F12" s="6" t="s">
        <v>29</v>
      </c>
      <c r="G12" s="294" t="str">
        <f>'SEMESTRE N°1'!E18</f>
        <v>TC-1</v>
      </c>
      <c r="H12" s="294"/>
      <c r="I12" s="294"/>
      <c r="J12" s="294"/>
      <c r="K12" s="294"/>
      <c r="L12" s="294"/>
    </row>
    <row r="13" spans="1:13" ht="15" customHeight="1">
      <c r="A13" s="131"/>
      <c r="B13" s="6" t="s">
        <v>39</v>
      </c>
      <c r="C13" s="291" t="str">
        <f>'SEMESTRE N°1'!C18</f>
        <v>Gabonaise</v>
      </c>
      <c r="D13" s="292"/>
      <c r="E13" s="292"/>
      <c r="F13" s="6" t="s">
        <v>40</v>
      </c>
      <c r="G13" s="249"/>
      <c r="H13" s="249"/>
      <c r="I13" s="249"/>
      <c r="J13" s="249"/>
      <c r="K13" s="249"/>
      <c r="L13" s="249"/>
    </row>
    <row r="14" spans="1:13" ht="15" customHeight="1">
      <c r="A14" s="131"/>
      <c r="B14" s="6" t="s">
        <v>41</v>
      </c>
      <c r="C14" s="305" t="str">
        <f>'SEMESTRE N°1'!D18</f>
        <v>092024</v>
      </c>
      <c r="D14" s="294"/>
      <c r="E14" s="294"/>
      <c r="F14" s="6" t="s">
        <v>42</v>
      </c>
      <c r="G14" s="249"/>
      <c r="H14" s="249"/>
      <c r="I14" s="249"/>
      <c r="J14" s="249"/>
      <c r="K14" s="249"/>
      <c r="L14" s="249"/>
    </row>
    <row r="15" spans="1:13">
      <c r="A15" s="131"/>
      <c r="B15" s="281" t="s">
        <v>43</v>
      </c>
      <c r="C15" s="281"/>
      <c r="D15" s="281"/>
      <c r="E15" s="282" t="s">
        <v>17</v>
      </c>
      <c r="F15" s="283"/>
      <c r="G15" s="240" t="s">
        <v>44</v>
      </c>
      <c r="H15" s="240"/>
      <c r="I15" s="240"/>
      <c r="J15" s="240"/>
      <c r="K15" s="240"/>
      <c r="L15" s="240"/>
      <c r="M15" s="240"/>
    </row>
    <row r="16" spans="1:13">
      <c r="A16" s="131"/>
      <c r="B16" s="281"/>
      <c r="C16" s="281"/>
      <c r="D16" s="281"/>
      <c r="E16" s="282"/>
      <c r="F16" s="283"/>
      <c r="G16" s="240" t="s">
        <v>83</v>
      </c>
      <c r="H16" s="240"/>
      <c r="I16" s="240"/>
      <c r="J16" s="256" t="s">
        <v>46</v>
      </c>
      <c r="K16" s="257"/>
      <c r="L16" s="257"/>
      <c r="M16" s="258" t="s">
        <v>47</v>
      </c>
    </row>
    <row r="17" spans="1:13" ht="15" customHeight="1">
      <c r="A17" s="131"/>
      <c r="B17" s="233" t="s">
        <v>48</v>
      </c>
      <c r="C17" s="273" t="s">
        <v>49</v>
      </c>
      <c r="D17" s="273"/>
      <c r="E17" s="272" t="s">
        <v>49</v>
      </c>
      <c r="F17" s="272" t="s">
        <v>50</v>
      </c>
      <c r="G17" s="2" t="s">
        <v>51</v>
      </c>
      <c r="H17" s="272" t="s">
        <v>52</v>
      </c>
      <c r="I17" s="272"/>
      <c r="J17" s="261" t="s">
        <v>17</v>
      </c>
      <c r="K17" s="261"/>
      <c r="L17" s="262"/>
      <c r="M17" s="259"/>
    </row>
    <row r="18" spans="1:13">
      <c r="A18" s="131"/>
      <c r="B18" s="234"/>
      <c r="C18" s="272"/>
      <c r="D18" s="274"/>
      <c r="E18" s="272"/>
      <c r="F18" s="272"/>
      <c r="G18" s="60" t="s">
        <v>53</v>
      </c>
      <c r="H18" s="60" t="s">
        <v>53</v>
      </c>
      <c r="I18" s="60" t="s">
        <v>50</v>
      </c>
      <c r="J18" s="87" t="s">
        <v>53</v>
      </c>
      <c r="K18" s="87" t="s">
        <v>53</v>
      </c>
      <c r="L18" s="89" t="s">
        <v>50</v>
      </c>
      <c r="M18" s="260"/>
    </row>
    <row r="19" spans="1:13" ht="15" customHeight="1">
      <c r="A19" s="131"/>
      <c r="B19" s="234"/>
      <c r="C19" s="243" t="s">
        <v>54</v>
      </c>
      <c r="D19" s="268" t="s">
        <v>55</v>
      </c>
      <c r="E19" s="118" t="s">
        <v>56</v>
      </c>
      <c r="F19" s="9">
        <v>3</v>
      </c>
      <c r="G19" s="92">
        <f>[1]BULL_N2!G19</f>
        <v>7.2</v>
      </c>
      <c r="H19" s="241">
        <f>IF(AND(G19&gt;=7, G20&gt;=7), ROUND(((F19*G19) + (F20*G20)) / (F19 + F20), 2), 0)</f>
        <v>0</v>
      </c>
      <c r="I19" s="241">
        <f>IF(H19&gt;9.99,(F19+F20),0)</f>
        <v>0</v>
      </c>
      <c r="J19" s="90">
        <f>IF(AND(G19&lt;10, H19&lt;10), 'SEMESTRE N°1'!G15, IF(AND(G19&gt;=10, H19&gt;=10), G19, IF(AND(G19&gt;=10, H19&lt;10), G19, IF(AND(G19&lt;10, H19&gt;=10), G19, ""))))</f>
        <v>0</v>
      </c>
      <c r="K19" s="232">
        <f>IF(AND(J19&gt;=7, J20&gt;=7), ROUND(((F19*J19) + (F20*J20)) / (F19 + F20), 2), 0)</f>
        <v>0</v>
      </c>
      <c r="L19" s="235">
        <f>IF(K19&gt;9.99,(F19+F20),0)</f>
        <v>0</v>
      </c>
      <c r="M19" s="263" t="str">
        <f>IF(K19&gt;9.99,"Validé","Non validé")</f>
        <v>Non validé</v>
      </c>
    </row>
    <row r="20" spans="1:13" ht="15" customHeight="1">
      <c r="A20" s="131"/>
      <c r="B20" s="234"/>
      <c r="C20" s="243"/>
      <c r="D20" s="269"/>
      <c r="E20" s="118" t="s">
        <v>57</v>
      </c>
      <c r="F20" s="9">
        <v>3</v>
      </c>
      <c r="G20" s="92">
        <f>[1]BULL_N2!G20</f>
        <v>6</v>
      </c>
      <c r="H20" s="242"/>
      <c r="I20" s="241"/>
      <c r="J20" s="90">
        <f>IF(AND(G20&lt;10, H19&lt;10), 'SEMESTRE N°1'!J15, IF(AND(G20&gt;=10, H19&gt;=10), G20, IF(AND(G20&gt;=10, H19&lt;10), G20, IF(AND(G20&lt;10, H19&gt;=10), G20, ""))))</f>
        <v>0</v>
      </c>
      <c r="K20" s="232"/>
      <c r="L20" s="235"/>
      <c r="M20" s="263"/>
    </row>
    <row r="21" spans="1:13" ht="15" customHeight="1">
      <c r="A21" s="131"/>
      <c r="B21" s="234"/>
      <c r="C21" s="243" t="s">
        <v>58</v>
      </c>
      <c r="D21" s="268" t="s">
        <v>59</v>
      </c>
      <c r="E21" s="118" t="s">
        <v>60</v>
      </c>
      <c r="F21" s="9">
        <v>5</v>
      </c>
      <c r="G21" s="92">
        <f>[1]BULL_N2!G21</f>
        <v>11</v>
      </c>
      <c r="H21" s="241">
        <f>IF(AND(G21&gt;=7, G22&gt;=7, G23&gt;=7), ROUND(((F21*G21) + (F22*G22)+ (F23*G23)) / (F21 + F22+F23), 2), 0)</f>
        <v>0</v>
      </c>
      <c r="I21" s="241">
        <f>IF(H21&gt;9.99,(F21+F22+F23),0)</f>
        <v>0</v>
      </c>
      <c r="J21" s="90">
        <f>IF(AND(G21&lt;10, H21&lt;10), 'SEMESTRE N°1'!M15, IF(AND(G21&gt;=10, H21&gt;=10), G21, IF(AND(G21&gt;=10, H21&lt;10), G21, IF(AND(G21&lt;10, H21&gt;=10), G21, ""))))</f>
        <v>11</v>
      </c>
      <c r="K21" s="280">
        <f>IF(AND(J21&gt;=7, J22&gt;=7, J23&gt;=7), ROUND(((F21*J21) + (F22*J22)+ (F23*J23)) / (F21 + F22+F23), 2), 0)</f>
        <v>0</v>
      </c>
      <c r="L21" s="236">
        <f>IF(K21&gt;9.99,(F21+F22+F23),0)</f>
        <v>0</v>
      </c>
      <c r="M21" s="251" t="str">
        <f>IF(K21&gt;9.99,"Validé","Non validé")</f>
        <v>Non validé</v>
      </c>
    </row>
    <row r="22" spans="1:13" ht="15" customHeight="1">
      <c r="A22" s="131"/>
      <c r="B22" s="234"/>
      <c r="C22" s="243"/>
      <c r="D22" s="279"/>
      <c r="E22" s="118" t="s">
        <v>61</v>
      </c>
      <c r="F22" s="9">
        <v>3</v>
      </c>
      <c r="G22" s="92">
        <f>[1]BULL_N2!G22</f>
        <v>9.9499999999999993</v>
      </c>
      <c r="H22" s="242"/>
      <c r="I22" s="241"/>
      <c r="J22" s="90">
        <f>IF(AND(G22&lt;10, H21&lt;10), 'SEMESTRE N°1'!P15, IF(AND(G22&gt;=10, H21&gt;=10), G22, IF(AND(G22&gt;=10, H21&lt;10), G22, IF(AND(G22&lt;10, H21&gt;=10), G22, ""))))</f>
        <v>0</v>
      </c>
      <c r="K22" s="280"/>
      <c r="L22" s="237"/>
      <c r="M22" s="252"/>
    </row>
    <row r="23" spans="1:13" ht="15" customHeight="1">
      <c r="A23" s="131"/>
      <c r="B23" s="234"/>
      <c r="C23" s="243"/>
      <c r="D23" s="269"/>
      <c r="E23" s="118" t="s">
        <v>62</v>
      </c>
      <c r="F23" s="9">
        <v>3</v>
      </c>
      <c r="G23" s="92">
        <f>[1]BULL_N2!G23</f>
        <v>1.2000000000000002</v>
      </c>
      <c r="H23" s="242"/>
      <c r="I23" s="241"/>
      <c r="J23" s="90">
        <f>IF(AND(G23&lt;10, H21&lt;10), 'SEMESTRE N°1'!J15, IF(AND(G23&gt;=10, H21&gt;=10), G23, IF(AND(G23&gt;=10, H21&lt;10), G23, IF(AND(G23&lt;10, H21&gt;=10), G23, ""))))</f>
        <v>0</v>
      </c>
      <c r="K23" s="280"/>
      <c r="L23" s="238"/>
      <c r="M23" s="253"/>
    </row>
    <row r="24" spans="1:13" ht="15" customHeight="1">
      <c r="A24" s="131"/>
      <c r="B24" s="234"/>
      <c r="C24" s="243" t="s">
        <v>63</v>
      </c>
      <c r="D24" s="268" t="s">
        <v>64</v>
      </c>
      <c r="E24" s="118" t="s">
        <v>65</v>
      </c>
      <c r="F24" s="9">
        <v>4</v>
      </c>
      <c r="G24" s="92">
        <f>[1]BULL_N2!G24</f>
        <v>3.5</v>
      </c>
      <c r="H24" s="241">
        <f>IF(AND(G24&gt;=7, G25&gt;=7), ROUND(((F24*G24) + (F25*G25)) / (F24 + F25), 2), 0)</f>
        <v>0</v>
      </c>
      <c r="I24" s="241">
        <f>IF(H24&gt;9.99,(F24+F25),0)</f>
        <v>0</v>
      </c>
      <c r="J24" s="90">
        <f>IF(AND(G24&lt;10, H24&lt;10), 'SEMESTRE N°1'!V15, IF(AND(G24&gt;=10, H24&gt;=10), G24, IF(AND(G24&gt;=10, H24&lt;10), G24, IF(AND(G24&lt;10, H24&gt;=10), G24, ""))))</f>
        <v>0</v>
      </c>
      <c r="K24" s="286">
        <f>IF(AND(J24&gt;=7, J25&gt;=7), ROUND(((F24*J24) + (F25*J25)) / (F24 + F25), 2), 0)</f>
        <v>0</v>
      </c>
      <c r="L24" s="286">
        <f>IF(K24&gt;9.99,(F24+F25),0)</f>
        <v>0</v>
      </c>
      <c r="M24" s="254" t="str">
        <f>IF(K24&gt;9.99,"Validé","Non validé")</f>
        <v>Non validé</v>
      </c>
    </row>
    <row r="25" spans="1:13" ht="15" customHeight="1">
      <c r="A25" s="131"/>
      <c r="B25" s="234"/>
      <c r="C25" s="243"/>
      <c r="D25" s="269"/>
      <c r="E25" s="118" t="s">
        <v>66</v>
      </c>
      <c r="F25" s="9">
        <v>4</v>
      </c>
      <c r="G25" s="92">
        <f>[1]BULL_N2!G25</f>
        <v>12.8</v>
      </c>
      <c r="H25" s="242"/>
      <c r="I25" s="241"/>
      <c r="J25" s="90">
        <f>IF(AND(G25&lt;10, H24&lt;10), 'SEMESTRE N°1'!Y15, IF(AND(G25&gt;=10, H24&gt;=10), G25, IF(AND(G25&gt;=10, H24&lt;10), G25, IF(AND(G25&lt;10, H24&gt;=10), G25, ""))))</f>
        <v>12.8</v>
      </c>
      <c r="K25" s="287"/>
      <c r="L25" s="287"/>
      <c r="M25" s="255"/>
    </row>
    <row r="26" spans="1:13" ht="15" customHeight="1">
      <c r="A26" s="131"/>
      <c r="B26" s="234"/>
      <c r="C26" s="243" t="s">
        <v>67</v>
      </c>
      <c r="D26" s="268" t="s">
        <v>68</v>
      </c>
      <c r="E26" s="118" t="s">
        <v>69</v>
      </c>
      <c r="F26" s="9">
        <v>2</v>
      </c>
      <c r="G26" s="92">
        <f>[1]BULL_N2!G26</f>
        <v>11.8</v>
      </c>
      <c r="H26" s="241">
        <f>IF(AND(G26&gt;=7, G27&gt;=7), ROUND(((F26*G26) + (F27*G27)) / (F26 + F27), 2), 0)</f>
        <v>11.14</v>
      </c>
      <c r="I26" s="241">
        <f>IF(H26&gt;9.99,(F26+F27),0)</f>
        <v>5</v>
      </c>
      <c r="J26" s="93">
        <f>IF(AND(G26&lt;10, H26&lt;10), 'SEMESTRE N°1'!AB25, IF(AND(G26&gt;=10, H26&gt;=10), G26, IF(AND(G26&gt;=10, H26&lt;10), G26, IF(AND(G26&lt;10, H26&gt;=10), G26, ""))))</f>
        <v>11.8</v>
      </c>
      <c r="K26" s="231">
        <f>IF(AND(J26&gt;=7, J27&gt;=7), ROUND(((F26*J26) + (F27*J27)) / (F26 + F27), 2), 0)</f>
        <v>11.14</v>
      </c>
      <c r="L26" s="231">
        <f>IF(K26&gt;9.99,(F26+F27),0)</f>
        <v>5</v>
      </c>
      <c r="M26" s="254" t="str">
        <f>IF(K26&gt;9.99,"Validé","Non validé")</f>
        <v>Validé</v>
      </c>
    </row>
    <row r="27" spans="1:13" ht="23.4" customHeight="1">
      <c r="A27" s="131"/>
      <c r="B27" s="234"/>
      <c r="C27" s="243"/>
      <c r="D27" s="269"/>
      <c r="E27" s="118" t="s">
        <v>70</v>
      </c>
      <c r="F27" s="9">
        <v>3</v>
      </c>
      <c r="G27" s="92">
        <f>[1]BULL_N2!G27</f>
        <v>10.7</v>
      </c>
      <c r="H27" s="242"/>
      <c r="I27" s="241"/>
      <c r="J27" s="93">
        <f>IF(AND(G27&lt;10, H26&lt;10), 'SEMESTRE N°1'!J25, IF(AND(G27&gt;=10, H26&gt;=10), G27, IF(AND(G27&gt;=10, H26&lt;10), G27, IF(AND(G27&lt;10, H26&gt;=10), G27, ""))))</f>
        <v>10.7</v>
      </c>
      <c r="K27" s="299"/>
      <c r="L27" s="232"/>
      <c r="M27" s="255"/>
    </row>
    <row r="28" spans="1:13" ht="18" customHeight="1">
      <c r="A28" s="131"/>
      <c r="B28" s="234"/>
      <c r="C28" s="284" t="s">
        <v>71</v>
      </c>
      <c r="D28" s="285"/>
      <c r="E28" s="284"/>
      <c r="F28" s="19">
        <f>F19+F20+F21+F22+F23+F24+F25+F26+F27</f>
        <v>30</v>
      </c>
      <c r="G28" s="3"/>
      <c r="H28" s="117">
        <f>ROUND((H19+H21+H24+H26)/4,2)</f>
        <v>2.79</v>
      </c>
      <c r="I28" s="110">
        <f>I26+I24+I21+I19</f>
        <v>5</v>
      </c>
      <c r="J28" s="91"/>
      <c r="K28" s="106">
        <f>ROUND((K19+K21+K24+K26)/4,2)</f>
        <v>2.79</v>
      </c>
      <c r="L28" s="107">
        <f>SUM(L19:L27)</f>
        <v>5</v>
      </c>
      <c r="M28" s="88"/>
    </row>
    <row r="29" spans="1:13" ht="17.100000000000001" customHeight="1">
      <c r="A29" s="131"/>
      <c r="C29" s="11"/>
      <c r="G29" s="11"/>
    </row>
    <row r="30" spans="1:13" ht="17.100000000000001" customHeight="1">
      <c r="A30" s="131"/>
      <c r="B30" s="266" t="s">
        <v>72</v>
      </c>
      <c r="C30" s="267"/>
      <c r="D30" s="21">
        <f>L26+L24+L21+L19</f>
        <v>5</v>
      </c>
      <c r="E30" s="12"/>
      <c r="F30" s="13"/>
      <c r="G30" s="14"/>
      <c r="I30" s="36"/>
      <c r="J30" s="330" t="s">
        <v>73</v>
      </c>
      <c r="K30" s="330"/>
      <c r="L30" s="330"/>
      <c r="M30" s="330"/>
    </row>
    <row r="31" spans="1:13" ht="17.100000000000001" customHeight="1">
      <c r="B31" s="266" t="s">
        <v>74</v>
      </c>
      <c r="C31" s="267"/>
      <c r="D31" s="22" t="str">
        <f>IF(D30=F28,"Semestre validé","Semestre non validé")</f>
        <v>Semestre non validé</v>
      </c>
      <c r="E31" s="13"/>
      <c r="F31" s="13"/>
      <c r="G31" s="16"/>
      <c r="L31" s="13"/>
    </row>
    <row r="32" spans="1:13" ht="17.100000000000001" customHeight="1">
      <c r="B32" s="266" t="s">
        <v>75</v>
      </c>
      <c r="C32" s="267"/>
      <c r="D32" s="1">
        <v>0</v>
      </c>
      <c r="E32" s="13"/>
      <c r="F32" s="13"/>
      <c r="G32" s="16"/>
      <c r="H32" s="13"/>
      <c r="I32" s="13"/>
      <c r="J32" s="13"/>
    </row>
    <row r="33" spans="2:15" ht="17.100000000000001" customHeight="1">
      <c r="B33" s="113"/>
      <c r="C33" s="113"/>
      <c r="D33" s="1"/>
      <c r="E33" s="13"/>
      <c r="F33" s="13"/>
      <c r="G33" s="16"/>
      <c r="H33" s="13"/>
      <c r="I33" s="13"/>
      <c r="J33" s="13"/>
    </row>
    <row r="34" spans="2:15" ht="17.100000000000001" customHeight="1">
      <c r="B34" s="59"/>
      <c r="C34" s="59"/>
      <c r="D34" s="1"/>
      <c r="E34" s="13"/>
      <c r="F34" s="13"/>
      <c r="G34" s="16"/>
      <c r="H34" s="13"/>
      <c r="I34" s="13"/>
      <c r="J34" s="13"/>
    </row>
    <row r="35" spans="2:15" ht="17.100000000000001" customHeight="1">
      <c r="C35" s="11"/>
      <c r="G35" s="275" t="s">
        <v>76</v>
      </c>
      <c r="H35" s="275"/>
      <c r="I35" s="275"/>
      <c r="J35" s="275"/>
      <c r="K35" s="275"/>
      <c r="L35" s="275"/>
      <c r="M35" s="275"/>
      <c r="N35" s="38"/>
      <c r="O35" s="38"/>
    </row>
    <row r="36" spans="2:15" ht="15" customHeight="1">
      <c r="B36" s="308" t="s">
        <v>77</v>
      </c>
      <c r="C36" s="308"/>
      <c r="D36" s="308"/>
      <c r="E36" s="308"/>
      <c r="F36" s="308"/>
      <c r="G36" s="308"/>
      <c r="H36" s="308"/>
      <c r="I36" s="308"/>
      <c r="J36" s="308"/>
      <c r="K36" s="308"/>
      <c r="L36" s="308"/>
      <c r="M36" s="308"/>
    </row>
    <row r="37" spans="2:15">
      <c r="B37" s="308"/>
      <c r="C37" s="308"/>
      <c r="D37" s="308"/>
      <c r="E37" s="308"/>
      <c r="F37" s="308"/>
      <c r="G37" s="308"/>
      <c r="H37" s="308"/>
      <c r="I37" s="308"/>
      <c r="J37" s="308"/>
      <c r="K37" s="308"/>
      <c r="L37" s="308"/>
      <c r="M37" s="308"/>
    </row>
    <row r="38" spans="2:15" hidden="1">
      <c r="B38" s="129" t="s">
        <v>78</v>
      </c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</row>
  </sheetData>
  <mergeCells count="58">
    <mergeCell ref="B30:C30"/>
    <mergeCell ref="B31:C31"/>
    <mergeCell ref="B32:C32"/>
    <mergeCell ref="C28:E28"/>
    <mergeCell ref="B36:M37"/>
    <mergeCell ref="B17:B28"/>
    <mergeCell ref="C17:D18"/>
    <mergeCell ref="E17:E18"/>
    <mergeCell ref="F17:F18"/>
    <mergeCell ref="H17:I17"/>
    <mergeCell ref="M24:M25"/>
    <mergeCell ref="M26:M27"/>
    <mergeCell ref="L26:L27"/>
    <mergeCell ref="C24:C25"/>
    <mergeCell ref="D24:D25"/>
    <mergeCell ref="H24:H25"/>
    <mergeCell ref="I24:I25"/>
    <mergeCell ref="K24:K25"/>
    <mergeCell ref="L24:L25"/>
    <mergeCell ref="C26:C27"/>
    <mergeCell ref="D26:D27"/>
    <mergeCell ref="H26:H27"/>
    <mergeCell ref="I26:I27"/>
    <mergeCell ref="K26:K27"/>
    <mergeCell ref="L19:L20"/>
    <mergeCell ref="L21:L23"/>
    <mergeCell ref="C19:C20"/>
    <mergeCell ref="D19:D20"/>
    <mergeCell ref="H19:H20"/>
    <mergeCell ref="I19:I20"/>
    <mergeCell ref="K19:K20"/>
    <mergeCell ref="C21:C23"/>
    <mergeCell ref="D21:D23"/>
    <mergeCell ref="H21:H23"/>
    <mergeCell ref="I21:I23"/>
    <mergeCell ref="K21:K23"/>
    <mergeCell ref="C14:E14"/>
    <mergeCell ref="G14:L14"/>
    <mergeCell ref="B15:D16"/>
    <mergeCell ref="E15:F16"/>
    <mergeCell ref="G16:I16"/>
    <mergeCell ref="G15:M15"/>
    <mergeCell ref="J17:L17"/>
    <mergeCell ref="E5:M8"/>
    <mergeCell ref="G35:M35"/>
    <mergeCell ref="B9:M9"/>
    <mergeCell ref="J30:M30"/>
    <mergeCell ref="J16:L16"/>
    <mergeCell ref="M16:M18"/>
    <mergeCell ref="M19:M20"/>
    <mergeCell ref="M21:M23"/>
    <mergeCell ref="C11:E11"/>
    <mergeCell ref="G11:L11"/>
    <mergeCell ref="B12:C12"/>
    <mergeCell ref="D12:E12"/>
    <mergeCell ref="G12:L12"/>
    <mergeCell ref="C13:E13"/>
    <mergeCell ref="G13:L13"/>
  </mergeCells>
  <pageMargins left="0" right="0" top="0" bottom="0" header="0" footer="0"/>
  <pageSetup paperSize="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7E5CE-A01E-4CAA-B431-9798AC142409}">
  <sheetPr codeName="Feuil11">
    <tabColor rgb="FF7030A0"/>
  </sheetPr>
  <dimension ref="B5:M38"/>
  <sheetViews>
    <sheetView showGridLines="0" view="pageLayout" topLeftCell="A10" zoomScaleNormal="100" workbookViewId="0">
      <selection activeCell="J23" sqref="J23"/>
    </sheetView>
  </sheetViews>
  <sheetFormatPr baseColWidth="10" defaultColWidth="10.88671875" defaultRowHeight="14.4"/>
  <cols>
    <col min="1" max="1" width="4.6640625" style="5" customWidth="1"/>
    <col min="2" max="2" width="10.88671875" style="5"/>
    <col min="3" max="3" width="10.109375" style="5" customWidth="1"/>
    <col min="4" max="4" width="14.88671875" style="5" customWidth="1"/>
    <col min="5" max="5" width="30.5546875" style="5" customWidth="1"/>
    <col min="6" max="6" width="10.6640625" style="5" customWidth="1"/>
    <col min="7" max="8" width="7.6640625" style="5" customWidth="1"/>
    <col min="9" max="9" width="6.6640625" style="5" customWidth="1"/>
    <col min="10" max="12" width="8.6640625" style="5" customWidth="1"/>
    <col min="13" max="13" width="12.6640625" style="5" customWidth="1"/>
    <col min="14" max="14" width="4.6640625" style="5" customWidth="1"/>
    <col min="15" max="16384" width="10.88671875" style="5"/>
  </cols>
  <sheetData>
    <row r="5" spans="2:13">
      <c r="E5" s="288" t="s">
        <v>162</v>
      </c>
      <c r="F5" s="229"/>
      <c r="G5" s="229"/>
      <c r="H5" s="229"/>
      <c r="I5" s="229"/>
      <c r="J5" s="229"/>
      <c r="K5" s="229"/>
      <c r="L5" s="229"/>
      <c r="M5" s="229"/>
    </row>
    <row r="6" spans="2:13">
      <c r="E6" s="229"/>
      <c r="F6" s="229"/>
      <c r="G6" s="229"/>
      <c r="H6" s="229"/>
      <c r="I6" s="229"/>
      <c r="J6" s="229"/>
      <c r="K6" s="229"/>
      <c r="L6" s="229"/>
      <c r="M6" s="229"/>
    </row>
    <row r="7" spans="2:13">
      <c r="E7" s="229"/>
      <c r="F7" s="229"/>
      <c r="G7" s="229"/>
      <c r="H7" s="229"/>
      <c r="I7" s="229"/>
      <c r="J7" s="229"/>
      <c r="K7" s="229"/>
      <c r="L7" s="229"/>
      <c r="M7" s="229"/>
    </row>
    <row r="8" spans="2:13">
      <c r="E8" s="230"/>
      <c r="F8" s="230"/>
      <c r="G8" s="230"/>
      <c r="H8" s="230"/>
      <c r="I8" s="230"/>
      <c r="J8" s="230"/>
      <c r="K8" s="230"/>
      <c r="L8" s="230"/>
      <c r="M8" s="230"/>
    </row>
    <row r="9" spans="2:13" ht="18" customHeight="1">
      <c r="B9" s="316" t="s">
        <v>35</v>
      </c>
      <c r="C9" s="317"/>
      <c r="D9" s="317"/>
      <c r="E9" s="317"/>
      <c r="F9" s="317"/>
      <c r="G9" s="317"/>
      <c r="H9" s="317"/>
      <c r="I9" s="317"/>
      <c r="J9" s="317"/>
      <c r="K9" s="317"/>
      <c r="L9" s="317"/>
      <c r="M9" s="318"/>
    </row>
    <row r="10" spans="2:13" ht="15" customHeight="1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2:13" ht="15" customHeight="1">
      <c r="B11" s="6" t="s">
        <v>36</v>
      </c>
      <c r="C11" s="291" t="str">
        <f>'SEMESTRE N°1'!A19</f>
        <v>ESSONE MBA David Pascal</v>
      </c>
      <c r="D11" s="291"/>
      <c r="E11" s="291"/>
      <c r="F11" s="6" t="s">
        <v>37</v>
      </c>
      <c r="G11" s="294" t="e">
        <f>#REF!</f>
        <v>#REF!</v>
      </c>
      <c r="H11" s="294"/>
      <c r="I11" s="294"/>
      <c r="J11" s="294"/>
      <c r="K11" s="294"/>
      <c r="L11" s="294"/>
    </row>
    <row r="12" spans="2:13" ht="15" customHeight="1">
      <c r="B12" s="246" t="s">
        <v>38</v>
      </c>
      <c r="C12" s="246"/>
      <c r="D12" s="295">
        <f>'SEMESTRE N°1'!B19</f>
        <v>39115</v>
      </c>
      <c r="E12" s="294"/>
      <c r="F12" s="6" t="s">
        <v>29</v>
      </c>
      <c r="G12" s="294" t="str">
        <f>'SEMESTRE N°1'!E19</f>
        <v>TC-1</v>
      </c>
      <c r="H12" s="294"/>
      <c r="I12" s="294"/>
      <c r="J12" s="294"/>
      <c r="K12" s="294"/>
      <c r="L12" s="294"/>
    </row>
    <row r="13" spans="2:13" ht="15" customHeight="1">
      <c r="B13" s="6" t="s">
        <v>39</v>
      </c>
      <c r="C13" s="291" t="str">
        <f>'SEMESTRE N°1'!C19</f>
        <v>Gabonaise</v>
      </c>
      <c r="D13" s="291"/>
      <c r="E13" s="291"/>
      <c r="F13" s="6" t="s">
        <v>40</v>
      </c>
      <c r="G13" s="249"/>
      <c r="H13" s="249"/>
      <c r="I13" s="249"/>
      <c r="J13" s="249"/>
      <c r="K13" s="249"/>
      <c r="L13" s="249"/>
    </row>
    <row r="14" spans="2:13" ht="15" customHeight="1">
      <c r="B14" s="6" t="s">
        <v>41</v>
      </c>
      <c r="C14" s="305" t="str">
        <f>'SEMESTRE N°1'!D19</f>
        <v>102024</v>
      </c>
      <c r="D14" s="305"/>
      <c r="E14" s="331"/>
      <c r="F14" s="6" t="s">
        <v>42</v>
      </c>
      <c r="G14" s="249"/>
      <c r="H14" s="249"/>
      <c r="I14" s="249"/>
      <c r="J14" s="249"/>
      <c r="K14" s="249"/>
      <c r="L14" s="249"/>
    </row>
    <row r="15" spans="2:13">
      <c r="B15" s="281" t="s">
        <v>43</v>
      </c>
      <c r="C15" s="281"/>
      <c r="D15" s="281"/>
      <c r="E15" s="282" t="s">
        <v>17</v>
      </c>
      <c r="F15" s="283"/>
      <c r="G15" s="240" t="s">
        <v>44</v>
      </c>
      <c r="H15" s="240"/>
      <c r="I15" s="240"/>
      <c r="J15" s="240"/>
      <c r="K15" s="240"/>
      <c r="L15" s="240"/>
      <c r="M15" s="240"/>
    </row>
    <row r="16" spans="2:13">
      <c r="B16" s="281"/>
      <c r="C16" s="281"/>
      <c r="D16" s="281"/>
      <c r="E16" s="282"/>
      <c r="F16" s="283"/>
      <c r="G16" s="240" t="s">
        <v>83</v>
      </c>
      <c r="H16" s="240"/>
      <c r="I16" s="240"/>
      <c r="J16" s="256" t="s">
        <v>46</v>
      </c>
      <c r="K16" s="257"/>
      <c r="L16" s="257"/>
      <c r="M16" s="258" t="s">
        <v>47</v>
      </c>
    </row>
    <row r="17" spans="2:13" ht="15" customHeight="1">
      <c r="B17" s="233" t="s">
        <v>48</v>
      </c>
      <c r="C17" s="273" t="s">
        <v>49</v>
      </c>
      <c r="D17" s="273"/>
      <c r="E17" s="272" t="s">
        <v>49</v>
      </c>
      <c r="F17" s="272" t="s">
        <v>50</v>
      </c>
      <c r="G17" s="2" t="s">
        <v>51</v>
      </c>
      <c r="H17" s="272" t="s">
        <v>52</v>
      </c>
      <c r="I17" s="272"/>
      <c r="J17" s="261" t="s">
        <v>17</v>
      </c>
      <c r="K17" s="261"/>
      <c r="L17" s="262"/>
      <c r="M17" s="259"/>
    </row>
    <row r="18" spans="2:13">
      <c r="B18" s="234"/>
      <c r="C18" s="272"/>
      <c r="D18" s="274"/>
      <c r="E18" s="272"/>
      <c r="F18" s="272"/>
      <c r="G18" s="60" t="s">
        <v>53</v>
      </c>
      <c r="H18" s="60" t="s">
        <v>53</v>
      </c>
      <c r="I18" s="60" t="s">
        <v>50</v>
      </c>
      <c r="J18" s="87" t="s">
        <v>53</v>
      </c>
      <c r="K18" s="87" t="s">
        <v>53</v>
      </c>
      <c r="L18" s="89" t="s">
        <v>50</v>
      </c>
      <c r="M18" s="260"/>
    </row>
    <row r="19" spans="2:13" ht="15" customHeight="1">
      <c r="B19" s="234"/>
      <c r="C19" s="243" t="s">
        <v>54</v>
      </c>
      <c r="D19" s="268" t="s">
        <v>55</v>
      </c>
      <c r="E19" s="118" t="s">
        <v>56</v>
      </c>
      <c r="F19" s="9">
        <v>3</v>
      </c>
      <c r="G19" s="92">
        <f>[1]BULL_N9!G19</f>
        <v>7.8000000000000007</v>
      </c>
      <c r="H19" s="241">
        <f>IF(AND(G19&gt;=7, G20&gt;=7), ROUND(((F19*G19) + (F20*G20)) / (F19 + F20), 2), 0)</f>
        <v>9.3800000000000008</v>
      </c>
      <c r="I19" s="241">
        <f>IF(H19&gt;9.99,(F19+F20),0)</f>
        <v>0</v>
      </c>
      <c r="J19" s="165">
        <f>IF(AND(G19&lt;10, H19&lt;10), 'SEMESTRE N°1'!G19, IF(AND(G19&gt;=10, H19&gt;=10), G19, IF(AND(G19&gt;=10, H19&lt;10), G19, IF(AND(G19&lt;10, H19&gt;=10), G19, ""))))</f>
        <v>9.5</v>
      </c>
      <c r="K19" s="235">
        <f>IF(AND(J19&gt;=7, J20&gt;=7), ROUND(((F19*J19) + (F20*J20)) / (F19 + F20), 2), 0)</f>
        <v>10.23</v>
      </c>
      <c r="L19" s="235">
        <f>IF(K19&gt;9.99,(F19+F20),0)</f>
        <v>6</v>
      </c>
      <c r="M19" s="263" t="str">
        <f>IF(K19&gt;9.99,"Validé","Non validé")</f>
        <v>Validé</v>
      </c>
    </row>
    <row r="20" spans="2:13" ht="15" customHeight="1">
      <c r="B20" s="234"/>
      <c r="C20" s="243"/>
      <c r="D20" s="269"/>
      <c r="E20" s="118" t="s">
        <v>57</v>
      </c>
      <c r="F20" s="9">
        <v>3</v>
      </c>
      <c r="G20" s="92">
        <f>[1]BULL_N9!G20</f>
        <v>10.952</v>
      </c>
      <c r="H20" s="242"/>
      <c r="I20" s="241"/>
      <c r="J20" s="159">
        <f>IF(AND(G20&lt;10, H19&lt;10), 'SEMESTRE N°1'!J19, IF(AND(G20&gt;=10, H19&gt;=10), G20, IF(AND(G20&gt;=10, H19&lt;10), G20, IF(AND(G20&lt;10, H19&gt;=10), G20, ""))))</f>
        <v>10.952</v>
      </c>
      <c r="K20" s="235"/>
      <c r="L20" s="235"/>
      <c r="M20" s="263"/>
    </row>
    <row r="21" spans="2:13" ht="15" customHeight="1">
      <c r="B21" s="234"/>
      <c r="C21" s="243" t="s">
        <v>58</v>
      </c>
      <c r="D21" s="268" t="s">
        <v>59</v>
      </c>
      <c r="E21" s="118" t="s">
        <v>169</v>
      </c>
      <c r="F21" s="9">
        <v>5</v>
      </c>
      <c r="G21" s="92">
        <f>[1]BULL_N9!G21</f>
        <v>11.4</v>
      </c>
      <c r="H21" s="241">
        <f>IF(AND(G21&gt;=7, G22&gt;=7, G23&gt;=7), ROUND(((F21*G21) + (F22*G22)+ (F23*G23)) / (F21 + F22+F23), 2), 0)</f>
        <v>0</v>
      </c>
      <c r="I21" s="241">
        <f>IF(H21&gt;9.99,(F21+F22+F23),0)</f>
        <v>0</v>
      </c>
      <c r="J21" s="159">
        <f>IF(AND(G21&lt;10, H21&lt;10), 'SEMESTRE N°1'!M19, IF(AND(G21&gt;=10, H21&gt;=10), G21, IF(AND(G21&gt;=10, H21&lt;10), G21, IF(AND(G21&lt;10, H21&gt;=10), G21, ""))))</f>
        <v>11.4</v>
      </c>
      <c r="K21" s="280">
        <f>IF(AND(J21&gt;=7, J22&gt;=7, J23&gt;=7), ROUND(((F21*J21) + (F22*J22)+ (F23*J23)) / (F21 + F22+F23), 2), 0)</f>
        <v>11.07</v>
      </c>
      <c r="L21" s="236">
        <f>IF(K21&gt;9.99,(F21+F22+F23),0)</f>
        <v>11</v>
      </c>
      <c r="M21" s="251" t="str">
        <f>IF(K21&gt;9.99,"Validé","Non validé")</f>
        <v>Validé</v>
      </c>
    </row>
    <row r="22" spans="2:13" ht="15" customHeight="1">
      <c r="B22" s="234"/>
      <c r="C22" s="243"/>
      <c r="D22" s="279"/>
      <c r="E22" s="118" t="s">
        <v>61</v>
      </c>
      <c r="F22" s="9">
        <v>3</v>
      </c>
      <c r="G22" s="92">
        <f>[1]BULL_N9!G22</f>
        <v>10.600000000000001</v>
      </c>
      <c r="H22" s="242"/>
      <c r="I22" s="241"/>
      <c r="J22" s="159">
        <f>IF(AND(G22&lt;10, H21&lt;10), 'SEMESTRE N°1'!P19, IF(AND(G22&gt;=10, H21&gt;=10), G22, IF(AND(G22&gt;=10, H21&lt;10), G22, IF(AND(G22&lt;10, H21&gt;=10), G22, ""))))</f>
        <v>10.600000000000001</v>
      </c>
      <c r="K22" s="280"/>
      <c r="L22" s="237"/>
      <c r="M22" s="252"/>
    </row>
    <row r="23" spans="2:13" ht="15" customHeight="1">
      <c r="B23" s="234"/>
      <c r="C23" s="243"/>
      <c r="D23" s="269"/>
      <c r="E23" s="118" t="s">
        <v>62</v>
      </c>
      <c r="F23" s="9">
        <v>3</v>
      </c>
      <c r="G23" s="92">
        <f>[1]BULL_N9!G23</f>
        <v>4.4520000000000008</v>
      </c>
      <c r="H23" s="242"/>
      <c r="I23" s="241"/>
      <c r="J23" s="90">
        <f>IF(AND(G23&lt;10, H21&lt;10), 'SEMESTRE N°1'!S19, IF(AND(G23&gt;=10, H21&gt;=10), G23, IF(AND(G23&gt;=10, H21&lt;10), G23, IF(AND(G23&lt;10, H21&gt;=10), G23, ""))))</f>
        <v>11</v>
      </c>
      <c r="K23" s="280"/>
      <c r="L23" s="238"/>
      <c r="M23" s="253"/>
    </row>
    <row r="24" spans="2:13" ht="15" customHeight="1">
      <c r="B24" s="234"/>
      <c r="C24" s="243" t="s">
        <v>63</v>
      </c>
      <c r="D24" s="268" t="s">
        <v>64</v>
      </c>
      <c r="E24" s="118" t="s">
        <v>65</v>
      </c>
      <c r="F24" s="9">
        <v>4</v>
      </c>
      <c r="G24" s="92">
        <f>[1]BULL_N9!G24</f>
        <v>10.5</v>
      </c>
      <c r="H24" s="241">
        <f>IF(AND(G24&gt;=7, G25&gt;=7), ROUND(((F24*G24) + (F25*G25)) / (F24 + F25), 2), 0)</f>
        <v>11.42</v>
      </c>
      <c r="I24" s="241">
        <f>IF(H24&gt;9.99,(F24+F25),0)</f>
        <v>8</v>
      </c>
      <c r="J24" s="93">
        <f>IF(AND(G24&lt;10, H24&lt;10), 'SEMESTRE N°1'!V19, IF(AND(G24&gt;=10, H24&gt;=10), G24, IF(AND(G24&gt;=10, H24&lt;10), G24, IF(AND(G24&lt;10, H24&gt;=10), G24, ""))))</f>
        <v>10.5</v>
      </c>
      <c r="K24" s="231">
        <f>IF(AND(J24&gt;=7, J25&gt;=7), ROUND(((F24*J24) + (F25*J25)) / (F24 + F25), 2), 0)</f>
        <v>11.42</v>
      </c>
      <c r="L24" s="231">
        <f>IF(K24&gt;9.99,(F24+F25),0)</f>
        <v>8</v>
      </c>
      <c r="M24" s="254" t="str">
        <f>IF(K24&gt;9.99,"Validé","Non validé")</f>
        <v>Validé</v>
      </c>
    </row>
    <row r="25" spans="2:13" ht="15" customHeight="1">
      <c r="B25" s="234"/>
      <c r="C25" s="243"/>
      <c r="D25" s="269"/>
      <c r="E25" s="118" t="s">
        <v>66</v>
      </c>
      <c r="F25" s="9">
        <v>4</v>
      </c>
      <c r="G25" s="92">
        <f>[1]BULL_N9!G25</f>
        <v>12.332000000000001</v>
      </c>
      <c r="H25" s="242"/>
      <c r="I25" s="241"/>
      <c r="J25" s="93">
        <f>IF(AND(G25&lt;10, H24&lt;10), 'SEMESTRE N°1'!Y19, IF(AND(G25&gt;=10, H24&gt;=10), G25, IF(AND(G25&gt;=10, H24&lt;10), G25, IF(AND(G25&lt;10, H24&gt;=10), G25, ""))))</f>
        <v>12.332000000000001</v>
      </c>
      <c r="K25" s="299"/>
      <c r="L25" s="299"/>
      <c r="M25" s="255"/>
    </row>
    <row r="26" spans="2:13" ht="15" customHeight="1">
      <c r="B26" s="234"/>
      <c r="C26" s="243" t="s">
        <v>67</v>
      </c>
      <c r="D26" s="319" t="s">
        <v>68</v>
      </c>
      <c r="E26" s="118" t="s">
        <v>69</v>
      </c>
      <c r="F26" s="9">
        <v>2</v>
      </c>
      <c r="G26" s="92">
        <f>[1]BULL_N9!G26</f>
        <v>13.5</v>
      </c>
      <c r="H26" s="241">
        <f>IF(AND(G26&gt;=7, G27&gt;=7), ROUND(((F26*G26) + (F27*G27)) / (F26 + F27), 2), 0)</f>
        <v>12.18</v>
      </c>
      <c r="I26" s="241">
        <f>IF(H26&gt;9.99,(F26+F27),0)</f>
        <v>5</v>
      </c>
      <c r="J26" s="93">
        <f>IF(AND(G26&lt;10, H26&lt;10), 'SEMESTRE N°1'!AB19, IF(AND(G26&gt;=10, H26&gt;=10), G26, IF(AND(G26&gt;=10, H26&lt;10), G26, IF(AND(G26&lt;10, H26&gt;=10), G26, ""))))</f>
        <v>13.5</v>
      </c>
      <c r="K26" s="231">
        <f>IF(AND(J26&gt;=7, J27&gt;=7), ROUND(((F26*J26) + (F27*J27)) / (F26 + F27), 2), 0)</f>
        <v>12.18</v>
      </c>
      <c r="L26" s="231">
        <f>IF(K26&gt;9.99,(F26+F27),0)</f>
        <v>5</v>
      </c>
      <c r="M26" s="254" t="str">
        <f>IF(K26&gt;9.99,"Validé","Non validé")</f>
        <v>Validé</v>
      </c>
    </row>
    <row r="27" spans="2:13" ht="15.6">
      <c r="B27" s="234"/>
      <c r="C27" s="243"/>
      <c r="D27" s="320"/>
      <c r="E27" s="118" t="s">
        <v>70</v>
      </c>
      <c r="F27" s="9">
        <v>3</v>
      </c>
      <c r="G27" s="92">
        <f>[1]BULL_N9!G27</f>
        <v>11.3</v>
      </c>
      <c r="H27" s="242"/>
      <c r="I27" s="241"/>
      <c r="J27" s="93">
        <f>IF(AND(G27&lt;10, H26&lt;10), 'SEMESTRE N°1'!AE19, IF(AND(G27&gt;=10, H26&gt;=10), G27, IF(AND(G27&gt;=10, H26&lt;10), G27, IF(AND(G27&lt;10, H26&gt;=10), G27, ""))))</f>
        <v>11.3</v>
      </c>
      <c r="K27" s="299"/>
      <c r="L27" s="232"/>
      <c r="M27" s="255"/>
    </row>
    <row r="28" spans="2:13" ht="18.600000000000001" customHeight="1">
      <c r="B28" s="234"/>
      <c r="C28" s="284" t="s">
        <v>71</v>
      </c>
      <c r="D28" s="285"/>
      <c r="E28" s="284"/>
      <c r="F28" s="19">
        <f>F19+F20+F21+F22+F23+F24+F25+F26+F27</f>
        <v>30</v>
      </c>
      <c r="G28" s="3"/>
      <c r="H28" s="117">
        <f>ROUND((H19+H21+H24+H26)/4,2)</f>
        <v>8.25</v>
      </c>
      <c r="I28" s="110">
        <f>I26+I24+I21+I19</f>
        <v>13</v>
      </c>
      <c r="J28" s="91"/>
      <c r="K28" s="111">
        <f>ROUND((K19+K21+K24+K26)/4,2)</f>
        <v>11.23</v>
      </c>
      <c r="L28" s="107">
        <f>SUM(L19:L27)</f>
        <v>30</v>
      </c>
      <c r="M28" s="88"/>
    </row>
    <row r="29" spans="2:13" ht="17.100000000000001" customHeight="1">
      <c r="C29" s="11"/>
      <c r="G29" s="11"/>
    </row>
    <row r="30" spans="2:13" ht="17.100000000000001" customHeight="1">
      <c r="B30" s="266" t="s">
        <v>72</v>
      </c>
      <c r="C30" s="267"/>
      <c r="D30" s="21">
        <f>L26+L24+L21+L19</f>
        <v>30</v>
      </c>
      <c r="E30" s="12"/>
      <c r="F30" s="13"/>
      <c r="G30" s="14"/>
      <c r="H30" s="15"/>
      <c r="I30" s="15"/>
      <c r="J30" s="275" t="s">
        <v>73</v>
      </c>
      <c r="K30" s="275"/>
      <c r="L30" s="275"/>
      <c r="M30" s="275"/>
    </row>
    <row r="31" spans="2:13" ht="17.100000000000001" customHeight="1">
      <c r="B31" s="266" t="s">
        <v>74</v>
      </c>
      <c r="C31" s="267"/>
      <c r="D31" s="22" t="str">
        <f>IF(D30=F28,"Semestre validé","Semestre non validé")</f>
        <v>Semestre validé</v>
      </c>
      <c r="E31" s="13"/>
      <c r="F31" s="13"/>
      <c r="G31" s="16"/>
      <c r="H31" s="333"/>
      <c r="I31" s="333"/>
      <c r="J31" s="333"/>
      <c r="K31" s="13"/>
      <c r="L31" s="13"/>
    </row>
    <row r="32" spans="2:13" ht="17.100000000000001" customHeight="1">
      <c r="B32" s="266" t="s">
        <v>75</v>
      </c>
      <c r="C32" s="267"/>
      <c r="D32" s="1">
        <v>0</v>
      </c>
      <c r="E32" s="13"/>
      <c r="F32" s="13"/>
      <c r="G32" s="16"/>
      <c r="H32" s="13"/>
      <c r="I32" s="13"/>
      <c r="J32" s="13"/>
    </row>
    <row r="33" spans="2:13" ht="17.100000000000001" customHeight="1">
      <c r="B33" s="113"/>
      <c r="C33" s="113"/>
      <c r="D33" s="1"/>
      <c r="E33" s="13"/>
      <c r="F33" s="13"/>
      <c r="G33" s="16"/>
      <c r="H33" s="13"/>
      <c r="I33" s="13"/>
      <c r="J33" s="13"/>
    </row>
    <row r="34" spans="2:13" ht="13.5" customHeight="1">
      <c r="B34" s="113"/>
      <c r="C34" s="113"/>
      <c r="D34" s="1"/>
      <c r="E34" s="13"/>
      <c r="F34" s="13"/>
      <c r="G34" s="16"/>
      <c r="H34" s="13"/>
      <c r="I34" s="13"/>
      <c r="J34" s="13"/>
    </row>
    <row r="35" spans="2:13" ht="17.100000000000001" customHeight="1">
      <c r="C35" s="16"/>
      <c r="D35" s="13"/>
      <c r="E35" s="13"/>
      <c r="F35" s="13"/>
      <c r="G35" s="16"/>
      <c r="H35" s="13"/>
      <c r="I35" s="13"/>
      <c r="J35" s="13"/>
    </row>
    <row r="36" spans="2:13" ht="17.100000000000001" customHeight="1">
      <c r="C36" s="16"/>
      <c r="D36" s="13"/>
      <c r="E36" s="13"/>
      <c r="F36" s="13"/>
      <c r="G36" s="332" t="s">
        <v>76</v>
      </c>
      <c r="H36" s="332"/>
      <c r="I36" s="332"/>
      <c r="J36" s="332"/>
      <c r="K36" s="332"/>
      <c r="L36" s="332"/>
      <c r="M36" s="332"/>
    </row>
    <row r="37" spans="2:13" ht="17.100000000000001" customHeight="1">
      <c r="B37" s="321" t="s">
        <v>77</v>
      </c>
      <c r="C37" s="321"/>
      <c r="D37" s="321"/>
      <c r="E37" s="321"/>
      <c r="F37" s="321"/>
      <c r="G37" s="321"/>
      <c r="H37" s="321"/>
      <c r="I37" s="321"/>
      <c r="J37" s="321"/>
      <c r="K37" s="321"/>
      <c r="L37" s="321"/>
      <c r="M37" s="321"/>
    </row>
    <row r="38" spans="2:13" ht="17.100000000000001" customHeight="1">
      <c r="B38" s="321"/>
      <c r="C38" s="321"/>
      <c r="D38" s="321"/>
      <c r="E38" s="321"/>
      <c r="F38" s="321"/>
      <c r="G38" s="321"/>
      <c r="H38" s="321"/>
      <c r="I38" s="321"/>
      <c r="J38" s="321"/>
      <c r="K38" s="321"/>
      <c r="L38" s="321"/>
      <c r="M38" s="321"/>
    </row>
  </sheetData>
  <mergeCells count="59">
    <mergeCell ref="B37:M38"/>
    <mergeCell ref="J30:M30"/>
    <mergeCell ref="G36:M36"/>
    <mergeCell ref="K24:K25"/>
    <mergeCell ref="C26:C27"/>
    <mergeCell ref="D26:D27"/>
    <mergeCell ref="H26:H27"/>
    <mergeCell ref="I26:I27"/>
    <mergeCell ref="K26:K27"/>
    <mergeCell ref="C28:E28"/>
    <mergeCell ref="B30:C30"/>
    <mergeCell ref="B31:C31"/>
    <mergeCell ref="H31:J31"/>
    <mergeCell ref="B32:C32"/>
    <mergeCell ref="C21:C23"/>
    <mergeCell ref="D21:D23"/>
    <mergeCell ref="H21:H23"/>
    <mergeCell ref="I21:I23"/>
    <mergeCell ref="C24:C25"/>
    <mergeCell ref="D24:D25"/>
    <mergeCell ref="H24:H25"/>
    <mergeCell ref="I24:I25"/>
    <mergeCell ref="M21:M23"/>
    <mergeCell ref="L19:L20"/>
    <mergeCell ref="L21:L23"/>
    <mergeCell ref="K19:K20"/>
    <mergeCell ref="K21:K23"/>
    <mergeCell ref="E5:M8"/>
    <mergeCell ref="M24:M25"/>
    <mergeCell ref="M26:M27"/>
    <mergeCell ref="G15:M15"/>
    <mergeCell ref="B9:M9"/>
    <mergeCell ref="C13:E13"/>
    <mergeCell ref="G13:L13"/>
    <mergeCell ref="C14:E14"/>
    <mergeCell ref="G14:L14"/>
    <mergeCell ref="C11:E11"/>
    <mergeCell ref="G11:L11"/>
    <mergeCell ref="B12:C12"/>
    <mergeCell ref="D12:E12"/>
    <mergeCell ref="J16:L16"/>
    <mergeCell ref="M16:M18"/>
    <mergeCell ref="M19:M20"/>
    <mergeCell ref="J17:L17"/>
    <mergeCell ref="G12:L12"/>
    <mergeCell ref="B15:D16"/>
    <mergeCell ref="L26:L27"/>
    <mergeCell ref="L24:L25"/>
    <mergeCell ref="E15:F16"/>
    <mergeCell ref="G16:I16"/>
    <mergeCell ref="B17:B28"/>
    <mergeCell ref="C17:D18"/>
    <mergeCell ref="E17:E18"/>
    <mergeCell ref="F17:F18"/>
    <mergeCell ref="H17:I17"/>
    <mergeCell ref="C19:C20"/>
    <mergeCell ref="D19:D20"/>
    <mergeCell ref="H19:H20"/>
    <mergeCell ref="I19:I20"/>
  </mergeCells>
  <pageMargins left="0" right="0" top="0" bottom="0" header="0" footer="0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273C3-18C9-4071-919D-6D9179EC3F05}">
  <sheetPr codeName="Feuil12">
    <tabColor rgb="FF7030A0"/>
  </sheetPr>
  <dimension ref="A5:M40"/>
  <sheetViews>
    <sheetView showGridLines="0" view="pageLayout" topLeftCell="A15" zoomScaleNormal="100" workbookViewId="0">
      <selection activeCell="G20" sqref="G20"/>
    </sheetView>
  </sheetViews>
  <sheetFormatPr baseColWidth="10" defaultColWidth="10.88671875" defaultRowHeight="14.4"/>
  <cols>
    <col min="1" max="1" width="4.6640625" style="5" customWidth="1"/>
    <col min="2" max="2" width="10.88671875" style="5"/>
    <col min="3" max="3" width="9.88671875" style="5" customWidth="1"/>
    <col min="4" max="4" width="16.5546875" style="5" customWidth="1"/>
    <col min="5" max="5" width="30.6640625" style="5" customWidth="1"/>
    <col min="6" max="6" width="11.5546875" style="5" customWidth="1"/>
    <col min="7" max="7" width="7.6640625" style="5" customWidth="1"/>
    <col min="8" max="8" width="6.6640625" style="5" customWidth="1"/>
    <col min="9" max="9" width="7" style="5" customWidth="1"/>
    <col min="10" max="10" width="7.5546875" style="5" customWidth="1"/>
    <col min="11" max="11" width="9.109375" style="5" customWidth="1"/>
    <col min="12" max="12" width="8.5546875" style="5" customWidth="1"/>
    <col min="13" max="13" width="10.6640625" style="5" customWidth="1"/>
    <col min="14" max="14" width="4.6640625" style="5" customWidth="1"/>
    <col min="15" max="16384" width="10.88671875" style="5"/>
  </cols>
  <sheetData>
    <row r="5" spans="1:13">
      <c r="E5" s="288" t="s">
        <v>162</v>
      </c>
      <c r="F5" s="229"/>
      <c r="G5" s="229"/>
      <c r="H5" s="229"/>
      <c r="I5" s="229"/>
      <c r="J5" s="229"/>
      <c r="K5" s="229"/>
      <c r="L5" s="229"/>
      <c r="M5" s="229"/>
    </row>
    <row r="6" spans="1:13">
      <c r="E6" s="229"/>
      <c r="F6" s="229"/>
      <c r="G6" s="229"/>
      <c r="H6" s="229"/>
      <c r="I6" s="229"/>
      <c r="J6" s="229"/>
      <c r="K6" s="229"/>
      <c r="L6" s="229"/>
      <c r="M6" s="229"/>
    </row>
    <row r="7" spans="1:13">
      <c r="E7" s="229"/>
      <c r="F7" s="229"/>
      <c r="G7" s="229"/>
      <c r="H7" s="229"/>
      <c r="I7" s="229"/>
      <c r="J7" s="229"/>
      <c r="K7" s="229"/>
      <c r="L7" s="229"/>
      <c r="M7" s="229"/>
    </row>
    <row r="8" spans="1:13">
      <c r="E8" s="230"/>
      <c r="F8" s="230"/>
      <c r="G8" s="230"/>
      <c r="H8" s="230"/>
      <c r="I8" s="230"/>
      <c r="J8" s="230"/>
      <c r="K8" s="230"/>
      <c r="L8" s="230"/>
      <c r="M8" s="230"/>
    </row>
    <row r="9" spans="1:13" ht="18" customHeight="1">
      <c r="B9" s="316" t="s">
        <v>35</v>
      </c>
      <c r="C9" s="317"/>
      <c r="D9" s="317"/>
      <c r="E9" s="317"/>
      <c r="F9" s="317"/>
      <c r="G9" s="317"/>
      <c r="H9" s="317"/>
      <c r="I9" s="317"/>
      <c r="J9" s="317"/>
      <c r="K9" s="317"/>
      <c r="L9" s="317"/>
      <c r="M9" s="318"/>
    </row>
    <row r="10" spans="1:13" ht="15" customHeight="1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1:13" ht="15" customHeight="1">
      <c r="B11" s="6" t="s">
        <v>36</v>
      </c>
      <c r="C11" s="291" t="str">
        <f>'SEMESTRE N°1'!A20</f>
        <v>FOUNA Junior Kelly</v>
      </c>
      <c r="D11" s="292"/>
      <c r="E11" s="292"/>
      <c r="F11" s="6" t="s">
        <v>37</v>
      </c>
      <c r="G11" s="294" t="str">
        <f>B40</f>
        <v>Licence Pro. Informatique-1ère année Tronc commun</v>
      </c>
      <c r="H11" s="294"/>
      <c r="I11" s="294"/>
      <c r="J11" s="294"/>
      <c r="K11" s="294"/>
      <c r="L11" s="294"/>
    </row>
    <row r="12" spans="1:13" ht="15" customHeight="1">
      <c r="B12" s="246" t="s">
        <v>38</v>
      </c>
      <c r="C12" s="246"/>
      <c r="D12" s="334">
        <f>'SEMESTRE N°1'!B14</f>
        <v>39292</v>
      </c>
      <c r="E12" s="329"/>
      <c r="F12" s="6" t="s">
        <v>29</v>
      </c>
      <c r="G12" s="294" t="str">
        <f>'SEMESTRE N°1'!E20</f>
        <v>TC-1</v>
      </c>
      <c r="H12" s="294"/>
      <c r="I12" s="294"/>
      <c r="J12" s="294"/>
      <c r="K12" s="294"/>
      <c r="L12" s="294"/>
    </row>
    <row r="13" spans="1:13" ht="15" customHeight="1">
      <c r="B13" s="6" t="s">
        <v>39</v>
      </c>
      <c r="C13" s="291" t="str">
        <f>'SEMESTRE N°1'!C20</f>
        <v>Gabonaise</v>
      </c>
      <c r="D13" s="292"/>
      <c r="E13" s="292"/>
      <c r="F13" s="6" t="s">
        <v>40</v>
      </c>
      <c r="G13" s="249"/>
      <c r="H13" s="249"/>
      <c r="I13" s="249"/>
      <c r="J13" s="249"/>
      <c r="K13" s="249"/>
      <c r="L13" s="249"/>
    </row>
    <row r="14" spans="1:13" ht="15" customHeight="1">
      <c r="B14" s="6" t="s">
        <v>41</v>
      </c>
      <c r="C14" s="305" t="str">
        <f>'SEMESTRE N°1'!D20</f>
        <v>112024</v>
      </c>
      <c r="D14" s="294"/>
      <c r="E14" s="294"/>
      <c r="F14" s="6" t="s">
        <v>42</v>
      </c>
      <c r="G14" s="249"/>
      <c r="H14" s="249"/>
      <c r="I14" s="249"/>
      <c r="J14" s="249"/>
      <c r="K14" s="249"/>
      <c r="L14" s="249"/>
    </row>
    <row r="15" spans="1:13">
      <c r="A15" s="130"/>
      <c r="B15" s="281" t="s">
        <v>43</v>
      </c>
      <c r="C15" s="281"/>
      <c r="D15" s="281"/>
      <c r="E15" s="282" t="s">
        <v>17</v>
      </c>
      <c r="F15" s="283"/>
      <c r="G15" s="240" t="s">
        <v>44</v>
      </c>
      <c r="H15" s="240"/>
      <c r="I15" s="240"/>
      <c r="J15" s="240"/>
      <c r="K15" s="240"/>
      <c r="L15" s="240"/>
      <c r="M15" s="240"/>
    </row>
    <row r="16" spans="1:13">
      <c r="A16" s="130"/>
      <c r="B16" s="281"/>
      <c r="C16" s="281"/>
      <c r="D16" s="281"/>
      <c r="E16" s="282"/>
      <c r="F16" s="283"/>
      <c r="G16" s="240" t="s">
        <v>83</v>
      </c>
      <c r="H16" s="240"/>
      <c r="I16" s="240"/>
      <c r="J16" s="256" t="s">
        <v>46</v>
      </c>
      <c r="K16" s="257"/>
      <c r="L16" s="257"/>
      <c r="M16" s="258" t="s">
        <v>47</v>
      </c>
    </row>
    <row r="17" spans="1:13" ht="15" customHeight="1">
      <c r="A17" s="131"/>
      <c r="B17" s="233" t="s">
        <v>48</v>
      </c>
      <c r="C17" s="273" t="s">
        <v>49</v>
      </c>
      <c r="D17" s="273"/>
      <c r="E17" s="272" t="s">
        <v>49</v>
      </c>
      <c r="F17" s="272" t="s">
        <v>50</v>
      </c>
      <c r="G17" s="2" t="s">
        <v>51</v>
      </c>
      <c r="H17" s="272" t="s">
        <v>52</v>
      </c>
      <c r="I17" s="272"/>
      <c r="J17" s="261" t="s">
        <v>17</v>
      </c>
      <c r="K17" s="261"/>
      <c r="L17" s="262"/>
      <c r="M17" s="259"/>
    </row>
    <row r="18" spans="1:13">
      <c r="B18" s="234"/>
      <c r="C18" s="272"/>
      <c r="D18" s="274"/>
      <c r="E18" s="272"/>
      <c r="F18" s="272"/>
      <c r="G18" s="60" t="s">
        <v>53</v>
      </c>
      <c r="H18" s="60" t="s">
        <v>53</v>
      </c>
      <c r="I18" s="60" t="s">
        <v>50</v>
      </c>
      <c r="J18" s="87" t="s">
        <v>53</v>
      </c>
      <c r="K18" s="87" t="s">
        <v>53</v>
      </c>
      <c r="L18" s="89" t="s">
        <v>50</v>
      </c>
      <c r="M18" s="260"/>
    </row>
    <row r="19" spans="1:13" ht="15" customHeight="1">
      <c r="B19" s="234"/>
      <c r="C19" s="243" t="s">
        <v>54</v>
      </c>
      <c r="D19" s="268" t="s">
        <v>55</v>
      </c>
      <c r="E19" s="118" t="s">
        <v>56</v>
      </c>
      <c r="F19" s="9">
        <v>3</v>
      </c>
      <c r="G19" s="92">
        <f>[1]BULL_N10!G19</f>
        <v>1.4000000000000001</v>
      </c>
      <c r="H19" s="241">
        <f>IF(AND(G19&gt;=7, G20&gt;=7), ROUND(((F19*G19) + (F20*G20)) / (F19 + F20), 2), 0)</f>
        <v>0</v>
      </c>
      <c r="I19" s="241">
        <f>IF(H19&gt;9.99,(F19+F20),0)</f>
        <v>0</v>
      </c>
      <c r="J19" s="90">
        <f>IF(AND(G19&lt;10, H19&lt;10), 'SEMESTRE N°1'!G20, IF(AND(G19&gt;=10, H19&gt;=10), G19, IF(AND(G19&gt;=10, H19&lt;10), G19, IF(AND(G19&lt;10, H19&gt;=10), G19, ""))))</f>
        <v>0</v>
      </c>
      <c r="K19" s="235">
        <f>IF(AND(J19&gt;=7, J20&gt;=7), ROUND(((F19*J19) + (F20*J20)) / (F19 + F20), 2), 0)</f>
        <v>0</v>
      </c>
      <c r="L19" s="235">
        <f>IF(K19&gt;9.99,(F19+F20),0)</f>
        <v>0</v>
      </c>
      <c r="M19" s="263" t="str">
        <f>IF(K19&gt;9.99,"Validé","Non validé")</f>
        <v>Non validé</v>
      </c>
    </row>
    <row r="20" spans="1:13" ht="15" customHeight="1">
      <c r="B20" s="234"/>
      <c r="C20" s="243"/>
      <c r="D20" s="269"/>
      <c r="E20" s="118" t="s">
        <v>57</v>
      </c>
      <c r="F20" s="9">
        <v>3</v>
      </c>
      <c r="G20" s="92">
        <f>[1]BULL_N10!G20</f>
        <v>1.35</v>
      </c>
      <c r="H20" s="242"/>
      <c r="I20" s="241"/>
      <c r="J20" s="90">
        <f>IF(AND(G20&lt;10, H19&lt;10), 'SEMESTRE N°1'!J20, IF(AND(G20&gt;=10, H19&gt;=10), G20, IF(AND(G20&gt;=10, H19&lt;10), G20, IF(AND(G20&lt;10, H19&gt;=10), G20, ""))))</f>
        <v>0</v>
      </c>
      <c r="K20" s="235"/>
      <c r="L20" s="235"/>
      <c r="M20" s="263"/>
    </row>
    <row r="21" spans="1:13" ht="15" customHeight="1">
      <c r="B21" s="234"/>
      <c r="C21" s="243" t="s">
        <v>58</v>
      </c>
      <c r="D21" s="268" t="s">
        <v>59</v>
      </c>
      <c r="E21" s="118" t="s">
        <v>60</v>
      </c>
      <c r="F21" s="9">
        <v>5</v>
      </c>
      <c r="G21" s="92">
        <f>[1]BULL_N10!G21</f>
        <v>8.1999999999999993</v>
      </c>
      <c r="H21" s="241">
        <f>IF(AND(G21&gt;=7, G22&gt;=7, G23&gt;=7), ROUND(((F21*G21) + (F22*G22)+ (F23*G23)) / (F21 + F22+F23), 2), 0)</f>
        <v>0</v>
      </c>
      <c r="I21" s="241">
        <f>IF(H21&gt;9.99,(F21+F22+F23),0)</f>
        <v>0</v>
      </c>
      <c r="J21" s="159">
        <f>IF(AND(G21&lt;10, H21&lt;10), 'SEMESTRE N°1'!M20, IF(AND(G21&gt;=10, H21&gt;=10), G21, IF(AND(G21&gt;=10, H21&lt;10), G21, IF(AND(G21&lt;10, H21&gt;=10), G21, ""))))</f>
        <v>0</v>
      </c>
      <c r="K21" s="280">
        <f>IF(AND(J21&gt;=7, J22&gt;=7, J23&gt;=7), ROUND(((F21*J21) + (F22*J22)+ (F23*J23)) / (F21 + F22+F23), 2), 0)</f>
        <v>0</v>
      </c>
      <c r="L21" s="236">
        <f>IF(K21&gt;9.99,(F21+F22+F23),0)</f>
        <v>0</v>
      </c>
      <c r="M21" s="251" t="str">
        <f>IF(K21&gt;9.99,"Validé","Non validé")</f>
        <v>Non validé</v>
      </c>
    </row>
    <row r="22" spans="1:13" ht="15" customHeight="1">
      <c r="B22" s="234"/>
      <c r="C22" s="243"/>
      <c r="D22" s="279"/>
      <c r="E22" s="118" t="s">
        <v>61</v>
      </c>
      <c r="F22" s="9">
        <v>3</v>
      </c>
      <c r="G22" s="92">
        <f>[1]BULL_N10!G22</f>
        <v>5.86</v>
      </c>
      <c r="H22" s="242"/>
      <c r="I22" s="241"/>
      <c r="J22" s="159">
        <f>IF(AND(G22&lt;10, H21&lt;10), 'SEMESTRE N°1'!P20, IF(AND(G22&gt;=10, H21&gt;=10), G22, IF(AND(G22&gt;=10, H21&lt;10), G22, IF(AND(G22&lt;10, H21&gt;=10), G22, ""))))</f>
        <v>0</v>
      </c>
      <c r="K22" s="280"/>
      <c r="L22" s="237"/>
      <c r="M22" s="252"/>
    </row>
    <row r="23" spans="1:13" ht="15" customHeight="1">
      <c r="B23" s="234"/>
      <c r="C23" s="243"/>
      <c r="D23" s="269"/>
      <c r="E23" s="118" t="s">
        <v>62</v>
      </c>
      <c r="F23" s="9">
        <v>3</v>
      </c>
      <c r="G23" s="92">
        <f>[1]BULL_N10!G23</f>
        <v>2.048</v>
      </c>
      <c r="H23" s="242"/>
      <c r="I23" s="241"/>
      <c r="J23" s="90">
        <f>IF(AND(G23&lt;10, H21&lt;10), 'SEMESTRE N°1'!J20, IF(AND(G23&gt;=10, H21&gt;=10), G23, IF(AND(G23&gt;=10, H21&lt;10), G23, IF(AND(G23&lt;10, H21&gt;=10), G23, ""))))</f>
        <v>0</v>
      </c>
      <c r="K23" s="280"/>
      <c r="L23" s="238"/>
      <c r="M23" s="253"/>
    </row>
    <row r="24" spans="1:13" ht="15" customHeight="1">
      <c r="B24" s="234"/>
      <c r="C24" s="243" t="s">
        <v>63</v>
      </c>
      <c r="D24" s="268" t="s">
        <v>64</v>
      </c>
      <c r="E24" s="118" t="s">
        <v>65</v>
      </c>
      <c r="F24" s="9">
        <v>4</v>
      </c>
      <c r="G24" s="92">
        <f>[1]BULL_N10!G24</f>
        <v>1.7</v>
      </c>
      <c r="H24" s="241">
        <f>IF(AND(G24&gt;=7, G25&gt;=7), ROUND(((F24*G24) + (F25*G25)) / (F24 + F25), 2), 0)</f>
        <v>0</v>
      </c>
      <c r="I24" s="241">
        <f>IF(H24&gt;9.99,(F24+F25),0)</f>
        <v>0</v>
      </c>
      <c r="J24" s="93">
        <f>IF(AND(G24&lt;10, H24&lt;10), 'SEMESTRE N°1'!V20, IF(AND(G24&gt;=10, H24&gt;=10), G24, IF(AND(G24&gt;=10, H24&lt;10), G24, IF(AND(G24&lt;10, H24&gt;=10), G24, ""))))</f>
        <v>0</v>
      </c>
      <c r="K24" s="231">
        <f>IF(AND(J24&gt;=7, J25&gt;=7), ROUND(((F24*J24) + (F25*J25)) / (F24 + F25), 2), 0)</f>
        <v>0</v>
      </c>
      <c r="L24" s="231">
        <f>IF(K24&gt;9.99,(F24+F25),0)</f>
        <v>0</v>
      </c>
      <c r="M24" s="254" t="str">
        <f>IF(K24&gt;9.99,"Validé","Non validé")</f>
        <v>Non validé</v>
      </c>
    </row>
    <row r="25" spans="1:13" ht="15" customHeight="1">
      <c r="B25" s="234"/>
      <c r="C25" s="243"/>
      <c r="D25" s="269"/>
      <c r="E25" s="118" t="s">
        <v>66</v>
      </c>
      <c r="F25" s="9">
        <v>4</v>
      </c>
      <c r="G25" s="92">
        <f>[1]BULL_N10!G25</f>
        <v>3.2</v>
      </c>
      <c r="H25" s="242"/>
      <c r="I25" s="241"/>
      <c r="J25" s="93">
        <f>IF(AND(G25&lt;10, H24&lt;10), 'SEMESTRE N°1'!Y20, IF(AND(G25&gt;=10, H24&gt;=10), G25, IF(AND(G25&gt;=10, H24&lt;10), G25, IF(AND(G25&lt;10, H24&gt;=10), G25, ""))))</f>
        <v>0</v>
      </c>
      <c r="K25" s="299"/>
      <c r="L25" s="299"/>
      <c r="M25" s="255"/>
    </row>
    <row r="26" spans="1:13" ht="15" customHeight="1">
      <c r="B26" s="234"/>
      <c r="C26" s="243" t="s">
        <v>67</v>
      </c>
      <c r="D26" s="319" t="s">
        <v>68</v>
      </c>
      <c r="E26" s="118" t="s">
        <v>69</v>
      </c>
      <c r="F26" s="9">
        <v>2</v>
      </c>
      <c r="G26" s="92">
        <f>[1]BULL_N10!G26</f>
        <v>9.4</v>
      </c>
      <c r="H26" s="241">
        <f>IF(AND(G26&gt;=7, G27&gt;=7), ROUND(((F26*G26) + (F27*G27)) / (F26 + F27), 2), 0)</f>
        <v>0</v>
      </c>
      <c r="I26" s="241">
        <f>IF(H26&gt;9.99,(F26+F27),0)</f>
        <v>0</v>
      </c>
      <c r="J26" s="93">
        <f>IF(AND(G26&lt;10, H26&lt;10), 'SEMESTRE N°1'!AB20, IF(AND(G26&gt;=10, H26&gt;=10), G26, IF(AND(G26&gt;=10, H26&lt;10), G26, IF(AND(G26&lt;10, H26&gt;=10), G26, ""))))</f>
        <v>0</v>
      </c>
      <c r="K26" s="231">
        <f>IF(AND(J26&gt;=7, J27&gt;=7), ROUND(((F26*J26) + (F27*J27)) / (F26 + F27), 2), 0)</f>
        <v>0</v>
      </c>
      <c r="L26" s="231">
        <f>IF(K26&gt;9.99,(F26+F27),0)</f>
        <v>0</v>
      </c>
      <c r="M26" s="254" t="str">
        <f>IF(K26&gt;9.99,"Validé","Non validé")</f>
        <v>Non validé</v>
      </c>
    </row>
    <row r="27" spans="1:13" ht="15.6">
      <c r="B27" s="234"/>
      <c r="C27" s="243"/>
      <c r="D27" s="320"/>
      <c r="E27" s="118" t="s">
        <v>70</v>
      </c>
      <c r="F27" s="9">
        <v>3</v>
      </c>
      <c r="G27" s="92">
        <f>[1]BULL_N10!G27</f>
        <v>2.7</v>
      </c>
      <c r="H27" s="242"/>
      <c r="I27" s="241"/>
      <c r="J27" s="93">
        <f>IF(AND(G27&lt;10, H26&lt;10), 'SEMESTRE N°1'!AE20, IF(AND(G27&gt;=10, H26&gt;=10), G27, IF(AND(G27&gt;=10, H26&lt;10), G27, IF(AND(G27&lt;10, H26&gt;=10), G27, ""))))</f>
        <v>0</v>
      </c>
      <c r="K27" s="299"/>
      <c r="L27" s="232"/>
      <c r="M27" s="255"/>
    </row>
    <row r="28" spans="1:13" ht="19.5" customHeight="1">
      <c r="B28" s="234"/>
      <c r="C28" s="284" t="s">
        <v>71</v>
      </c>
      <c r="D28" s="285"/>
      <c r="E28" s="284"/>
      <c r="F28" s="19">
        <f>F19+F20+F21+F22+F23+F24+F25+F26+F27</f>
        <v>30</v>
      </c>
      <c r="G28" s="3"/>
      <c r="H28" s="117">
        <f>ROUND((H19+H21+H24+H26)/4,2)</f>
        <v>0</v>
      </c>
      <c r="I28" s="110">
        <f>I26+I24+I21+I19</f>
        <v>0</v>
      </c>
      <c r="J28" s="91"/>
      <c r="K28" s="106">
        <f>ROUND((K19+K21+K24+K26)/4,2)</f>
        <v>0</v>
      </c>
      <c r="L28" s="107">
        <f>SUM(L19:L27)</f>
        <v>0</v>
      </c>
      <c r="M28" s="88"/>
    </row>
    <row r="29" spans="1:13" ht="12.75" customHeight="1">
      <c r="C29" s="11"/>
      <c r="G29" s="11"/>
    </row>
    <row r="30" spans="1:13" ht="15.9" customHeight="1">
      <c r="B30" s="266" t="s">
        <v>72</v>
      </c>
      <c r="C30" s="267"/>
      <c r="D30" s="21">
        <f>L26+L24+L21+L19</f>
        <v>0</v>
      </c>
      <c r="E30" s="12"/>
      <c r="F30" s="13"/>
      <c r="G30" s="14"/>
      <c r="H30" s="15"/>
      <c r="I30" s="15"/>
      <c r="J30" s="275" t="s">
        <v>73</v>
      </c>
      <c r="K30" s="275"/>
      <c r="L30" s="275"/>
      <c r="M30" s="275"/>
    </row>
    <row r="31" spans="1:13" ht="15.6">
      <c r="B31" s="266" t="s">
        <v>74</v>
      </c>
      <c r="C31" s="267"/>
      <c r="D31" s="22" t="str">
        <f>IF(D30=F28,"Semestre validé","Semestre non validé")</f>
        <v>Semestre non validé</v>
      </c>
      <c r="E31" s="13"/>
      <c r="F31" s="13"/>
      <c r="G31" s="16"/>
      <c r="H31" s="333"/>
      <c r="I31" s="333"/>
      <c r="J31" s="333"/>
      <c r="K31" s="41"/>
      <c r="L31" s="13"/>
    </row>
    <row r="32" spans="1:13">
      <c r="B32" s="266" t="s">
        <v>75</v>
      </c>
      <c r="C32" s="267"/>
      <c r="D32" s="1">
        <v>0</v>
      </c>
      <c r="E32" s="13"/>
      <c r="F32" s="13"/>
      <c r="G32" s="16"/>
      <c r="H32" s="13"/>
      <c r="I32" s="13"/>
      <c r="J32" s="13"/>
    </row>
    <row r="33" spans="2:13">
      <c r="B33" s="113"/>
      <c r="C33" s="113"/>
      <c r="D33" s="1"/>
      <c r="E33" s="13"/>
      <c r="F33" s="13"/>
      <c r="G33" s="16"/>
      <c r="H33" s="13"/>
      <c r="I33" s="13"/>
      <c r="J33" s="13"/>
    </row>
    <row r="34" spans="2:13">
      <c r="B34" s="59"/>
      <c r="C34" s="59"/>
      <c r="D34" s="1"/>
      <c r="E34" s="13"/>
      <c r="F34" s="13"/>
      <c r="G34" s="16"/>
      <c r="H34" s="13"/>
      <c r="I34" s="13"/>
      <c r="J34" s="13"/>
    </row>
    <row r="35" spans="2:13" ht="12" customHeight="1">
      <c r="C35" s="16"/>
      <c r="D35" s="13"/>
      <c r="E35" s="13"/>
      <c r="F35" s="13"/>
      <c r="G35" s="16"/>
      <c r="H35" s="13"/>
      <c r="I35" s="13"/>
      <c r="J35" s="13"/>
    </row>
    <row r="36" spans="2:13" ht="18" customHeight="1">
      <c r="C36" s="16"/>
      <c r="D36" s="13"/>
      <c r="E36" s="13"/>
      <c r="F36" s="13"/>
      <c r="G36" s="332" t="s">
        <v>76</v>
      </c>
      <c r="H36" s="332"/>
      <c r="I36" s="332"/>
      <c r="J36" s="332"/>
      <c r="K36" s="332"/>
      <c r="L36" s="332"/>
      <c r="M36" s="332"/>
    </row>
    <row r="37" spans="2:13" ht="14.4" customHeight="1">
      <c r="B37" s="308" t="s">
        <v>77</v>
      </c>
      <c r="C37" s="308"/>
      <c r="D37" s="308"/>
      <c r="E37" s="308"/>
      <c r="F37" s="308"/>
      <c r="G37" s="308"/>
      <c r="H37" s="308"/>
      <c r="I37" s="308"/>
      <c r="J37" s="308"/>
      <c r="K37" s="308"/>
      <c r="L37" s="308"/>
      <c r="M37" s="308"/>
    </row>
    <row r="38" spans="2:13" ht="17.399999999999999" customHeight="1">
      <c r="B38" s="336"/>
      <c r="C38" s="336"/>
      <c r="D38" s="336"/>
      <c r="E38" s="336"/>
      <c r="F38" s="336"/>
      <c r="G38" s="336"/>
      <c r="H38" s="336"/>
      <c r="I38" s="336"/>
      <c r="J38" s="336"/>
      <c r="K38" s="336"/>
      <c r="L38" s="336"/>
      <c r="M38" s="336"/>
    </row>
    <row r="39" spans="2:13" ht="18">
      <c r="G39" s="335"/>
      <c r="H39" s="335"/>
      <c r="I39" s="335"/>
      <c r="J39" s="335"/>
      <c r="K39" s="335"/>
    </row>
    <row r="40" spans="2:13" hidden="1">
      <c r="B40" s="18" t="s">
        <v>78</v>
      </c>
    </row>
  </sheetData>
  <mergeCells count="60">
    <mergeCell ref="G39:K39"/>
    <mergeCell ref="C28:E28"/>
    <mergeCell ref="B30:C30"/>
    <mergeCell ref="B31:C31"/>
    <mergeCell ref="H31:J31"/>
    <mergeCell ref="B32:C32"/>
    <mergeCell ref="B37:M38"/>
    <mergeCell ref="G36:M36"/>
    <mergeCell ref="B17:B28"/>
    <mergeCell ref="C17:D18"/>
    <mergeCell ref="E17:E18"/>
    <mergeCell ref="F17:F18"/>
    <mergeCell ref="H17:I17"/>
    <mergeCell ref="M24:M25"/>
    <mergeCell ref="M26:M27"/>
    <mergeCell ref="L26:L27"/>
    <mergeCell ref="L24:L25"/>
    <mergeCell ref="C26:C27"/>
    <mergeCell ref="D26:D27"/>
    <mergeCell ref="H26:H27"/>
    <mergeCell ref="I26:I27"/>
    <mergeCell ref="K26:K27"/>
    <mergeCell ref="C24:C25"/>
    <mergeCell ref="D24:D25"/>
    <mergeCell ref="H24:H25"/>
    <mergeCell ref="I24:I25"/>
    <mergeCell ref="K24:K25"/>
    <mergeCell ref="L19:L20"/>
    <mergeCell ref="L21:L23"/>
    <mergeCell ref="C19:C20"/>
    <mergeCell ref="D19:D20"/>
    <mergeCell ref="H19:H20"/>
    <mergeCell ref="I19:I20"/>
    <mergeCell ref="K19:K20"/>
    <mergeCell ref="C21:C23"/>
    <mergeCell ref="D21:D23"/>
    <mergeCell ref="H21:H23"/>
    <mergeCell ref="I21:I23"/>
    <mergeCell ref="K21:K23"/>
    <mergeCell ref="G14:L14"/>
    <mergeCell ref="B15:D16"/>
    <mergeCell ref="E15:F16"/>
    <mergeCell ref="G16:I16"/>
    <mergeCell ref="G15:M15"/>
    <mergeCell ref="J17:L17"/>
    <mergeCell ref="E5:M8"/>
    <mergeCell ref="B9:M9"/>
    <mergeCell ref="J30:M30"/>
    <mergeCell ref="J16:L16"/>
    <mergeCell ref="M16:M18"/>
    <mergeCell ref="M19:M20"/>
    <mergeCell ref="M21:M23"/>
    <mergeCell ref="C11:E11"/>
    <mergeCell ref="G11:L11"/>
    <mergeCell ref="B12:C12"/>
    <mergeCell ref="D12:E12"/>
    <mergeCell ref="G12:L12"/>
    <mergeCell ref="C13:E13"/>
    <mergeCell ref="G13:L13"/>
    <mergeCell ref="C14:E14"/>
  </mergeCells>
  <pageMargins left="0" right="0" top="0" bottom="0" header="0" footer="0"/>
  <pageSetup paperSize="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0AE36-28E0-4D42-88D3-055B015B76AB}">
  <sheetPr codeName="Feuil13">
    <tabColor rgb="FF7030A0"/>
  </sheetPr>
  <dimension ref="A5:M39"/>
  <sheetViews>
    <sheetView showGridLines="0" view="pageLayout" topLeftCell="A17" zoomScale="98" zoomScaleNormal="100" zoomScalePageLayoutView="98" workbookViewId="0">
      <selection activeCell="C13" sqref="C13:E13"/>
    </sheetView>
  </sheetViews>
  <sheetFormatPr baseColWidth="10" defaultColWidth="10.88671875" defaultRowHeight="14.4"/>
  <cols>
    <col min="1" max="1" width="4.33203125" style="5" customWidth="1"/>
    <col min="2" max="2" width="10.88671875" style="5"/>
    <col min="3" max="3" width="10.33203125" style="5" customWidth="1"/>
    <col min="4" max="4" width="15.88671875" style="5" customWidth="1"/>
    <col min="5" max="5" width="29" style="5" customWidth="1"/>
    <col min="6" max="6" width="11.33203125" style="5" customWidth="1"/>
    <col min="7" max="7" width="7.6640625" style="5" customWidth="1"/>
    <col min="8" max="8" width="7.44140625" style="5" customWidth="1"/>
    <col min="9" max="9" width="7" style="5" customWidth="1"/>
    <col min="10" max="12" width="8.6640625" style="5" customWidth="1"/>
    <col min="13" max="13" width="12.6640625" style="5" customWidth="1"/>
    <col min="14" max="14" width="4.6640625" style="5" customWidth="1"/>
    <col min="15" max="16384" width="10.88671875" style="5"/>
  </cols>
  <sheetData>
    <row r="5" spans="1:13">
      <c r="E5" s="288" t="s">
        <v>162</v>
      </c>
      <c r="F5" s="229"/>
      <c r="G5" s="229"/>
      <c r="H5" s="229"/>
      <c r="I5" s="229"/>
      <c r="J5" s="229"/>
      <c r="K5" s="229"/>
      <c r="L5" s="229"/>
      <c r="M5" s="229"/>
    </row>
    <row r="6" spans="1:13">
      <c r="E6" s="229"/>
      <c r="F6" s="229"/>
      <c r="G6" s="229"/>
      <c r="H6" s="229"/>
      <c r="I6" s="229"/>
      <c r="J6" s="229"/>
      <c r="K6" s="229"/>
      <c r="L6" s="229"/>
      <c r="M6" s="229"/>
    </row>
    <row r="7" spans="1:13">
      <c r="E7" s="229"/>
      <c r="F7" s="229"/>
      <c r="G7" s="229"/>
      <c r="H7" s="229"/>
      <c r="I7" s="229"/>
      <c r="J7" s="229"/>
      <c r="K7" s="229"/>
      <c r="L7" s="229"/>
      <c r="M7" s="229"/>
    </row>
    <row r="8" spans="1:13">
      <c r="E8" s="230"/>
      <c r="F8" s="230"/>
      <c r="G8" s="230"/>
      <c r="H8" s="230"/>
      <c r="I8" s="230"/>
      <c r="J8" s="230"/>
      <c r="K8" s="230"/>
      <c r="L8" s="230"/>
      <c r="M8" s="230"/>
    </row>
    <row r="9" spans="1:13" ht="18" customHeight="1">
      <c r="B9" s="316" t="s">
        <v>35</v>
      </c>
      <c r="C9" s="317"/>
      <c r="D9" s="317"/>
      <c r="E9" s="317"/>
      <c r="F9" s="317"/>
      <c r="G9" s="317"/>
      <c r="H9" s="317"/>
      <c r="I9" s="317"/>
      <c r="J9" s="317"/>
      <c r="K9" s="317"/>
      <c r="L9" s="317"/>
      <c r="M9" s="318"/>
    </row>
    <row r="10" spans="1:13" ht="13.5" customHeight="1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1:13" ht="15" customHeight="1">
      <c r="B11" s="6" t="s">
        <v>36</v>
      </c>
      <c r="C11" s="291" t="str">
        <f>'SEMESTRE N°1'!A21</f>
        <v>HOUNDY Tim Jirel</v>
      </c>
      <c r="D11" s="292"/>
      <c r="E11" s="292"/>
      <c r="F11" s="6" t="s">
        <v>37</v>
      </c>
      <c r="G11" s="297" t="str">
        <f>B39</f>
        <v>Licence Pro. Informatique-1ère année Tronc commun</v>
      </c>
      <c r="H11" s="297"/>
      <c r="I11" s="297"/>
      <c r="J11" s="297"/>
      <c r="K11" s="297"/>
      <c r="L11" s="297"/>
    </row>
    <row r="12" spans="1:13" ht="15" customHeight="1">
      <c r="B12" s="246" t="s">
        <v>38</v>
      </c>
      <c r="C12" s="246"/>
      <c r="D12" s="295">
        <f>'SEMESTRE N°1'!B21</f>
        <v>38527</v>
      </c>
      <c r="E12" s="294"/>
      <c r="F12" s="6" t="s">
        <v>29</v>
      </c>
      <c r="G12" s="294" t="str">
        <f>'SEMESTRE N°1'!E21</f>
        <v>TC-1</v>
      </c>
      <c r="H12" s="294"/>
      <c r="I12" s="294"/>
      <c r="J12" s="294"/>
      <c r="K12" s="294"/>
      <c r="L12" s="294"/>
    </row>
    <row r="13" spans="1:13" ht="15" customHeight="1">
      <c r="B13" s="6" t="s">
        <v>39</v>
      </c>
      <c r="C13" s="291" t="str">
        <f>'SEMESTRE N°1'!C21</f>
        <v>Gabonaise</v>
      </c>
      <c r="D13" s="292"/>
      <c r="E13" s="292"/>
      <c r="F13" s="6" t="s">
        <v>40</v>
      </c>
      <c r="G13" s="249"/>
      <c r="H13" s="249"/>
      <c r="I13" s="249"/>
      <c r="J13" s="249"/>
      <c r="K13" s="249"/>
      <c r="L13" s="249"/>
    </row>
    <row r="14" spans="1:13" ht="15" customHeight="1">
      <c r="B14" s="6" t="s">
        <v>41</v>
      </c>
      <c r="C14" s="305" t="str">
        <f>'SEMESTRE N°1'!D21</f>
        <v>122024</v>
      </c>
      <c r="D14" s="294"/>
      <c r="E14" s="294"/>
      <c r="F14" s="6" t="s">
        <v>42</v>
      </c>
      <c r="G14" s="249"/>
      <c r="H14" s="249"/>
      <c r="I14" s="249"/>
      <c r="J14" s="249"/>
      <c r="K14" s="249"/>
      <c r="L14" s="249"/>
    </row>
    <row r="15" spans="1:13">
      <c r="A15" s="130"/>
      <c r="B15" s="282" t="s">
        <v>43</v>
      </c>
      <c r="C15" s="283"/>
      <c r="D15" s="283"/>
      <c r="E15" s="283" t="s">
        <v>17</v>
      </c>
      <c r="F15" s="283"/>
      <c r="G15" s="342" t="s">
        <v>44</v>
      </c>
      <c r="H15" s="343"/>
      <c r="I15" s="343"/>
      <c r="J15" s="343"/>
      <c r="K15" s="343"/>
      <c r="L15" s="343"/>
      <c r="M15" s="344"/>
    </row>
    <row r="16" spans="1:13">
      <c r="A16" s="130"/>
      <c r="B16" s="282"/>
      <c r="C16" s="283"/>
      <c r="D16" s="283"/>
      <c r="E16" s="283"/>
      <c r="F16" s="283"/>
      <c r="G16" s="240" t="s">
        <v>83</v>
      </c>
      <c r="H16" s="240"/>
      <c r="I16" s="240"/>
      <c r="J16" s="256" t="s">
        <v>46</v>
      </c>
      <c r="K16" s="257"/>
      <c r="L16" s="338"/>
      <c r="M16" s="339" t="s">
        <v>47</v>
      </c>
    </row>
    <row r="17" spans="1:13">
      <c r="A17" s="131"/>
      <c r="B17" s="233" t="s">
        <v>48</v>
      </c>
      <c r="C17" s="272" t="s">
        <v>49</v>
      </c>
      <c r="D17" s="272"/>
      <c r="E17" s="272" t="s">
        <v>49</v>
      </c>
      <c r="F17" s="272" t="s">
        <v>50</v>
      </c>
      <c r="G17" s="2" t="s">
        <v>51</v>
      </c>
      <c r="H17" s="272" t="s">
        <v>52</v>
      </c>
      <c r="I17" s="272"/>
      <c r="J17" s="119" t="s">
        <v>51</v>
      </c>
      <c r="K17" s="262" t="s">
        <v>52</v>
      </c>
      <c r="L17" s="337"/>
      <c r="M17" s="340"/>
    </row>
    <row r="18" spans="1:13">
      <c r="B18" s="234"/>
      <c r="C18" s="272"/>
      <c r="D18" s="274"/>
      <c r="E18" s="272"/>
      <c r="F18" s="272"/>
      <c r="G18" s="60" t="s">
        <v>53</v>
      </c>
      <c r="H18" s="60" t="s">
        <v>53</v>
      </c>
      <c r="I18" s="60" t="s">
        <v>50</v>
      </c>
      <c r="J18" s="87" t="s">
        <v>53</v>
      </c>
      <c r="K18" s="87" t="s">
        <v>53</v>
      </c>
      <c r="L18" s="87" t="s">
        <v>50</v>
      </c>
      <c r="M18" s="341"/>
    </row>
    <row r="19" spans="1:13" ht="15" customHeight="1">
      <c r="B19" s="234"/>
      <c r="C19" s="243" t="s">
        <v>54</v>
      </c>
      <c r="D19" s="268" t="s">
        <v>55</v>
      </c>
      <c r="E19" s="118" t="s">
        <v>56</v>
      </c>
      <c r="F19" s="9">
        <v>3</v>
      </c>
      <c r="G19" s="108">
        <f>[1]BULL_N11!G19</f>
        <v>6.4</v>
      </c>
      <c r="H19" s="345">
        <f>IF(AND(G19&gt;=7, G20&gt;=7), ROUND(((F19*G19) + (F20*G20)) / (F19 + F20), 2), 0)</f>
        <v>0</v>
      </c>
      <c r="I19" s="345">
        <f>IF(H19&gt;9.99,(F19+F20),0)</f>
        <v>0</v>
      </c>
      <c r="J19" s="165">
        <f>IF(AND(G19&lt;10, H19&lt;10), 'SEMESTRE N°1'!G21, IF(AND(G19&gt;=10, H19&gt;=10), G19, IF(AND(G19&gt;=10, H19&lt;10), G19, IF(AND(G19&lt;10, H19&gt;=10), G19, ""))))</f>
        <v>7.5</v>
      </c>
      <c r="K19" s="293">
        <f>IF(AND(J19&gt;=7, J20&gt;=7), ROUND(((F19*J19) + (F20*J20)) / (F19 + F20), 2), 0)</f>
        <v>10.75</v>
      </c>
      <c r="L19" s="293">
        <f>IF(K19&gt;9.99,(F19+F20),0)</f>
        <v>6</v>
      </c>
      <c r="M19" s="263" t="str">
        <f>IF(K19&gt;9.99,"Validé","Non validé")</f>
        <v>Validé</v>
      </c>
    </row>
    <row r="20" spans="1:13" ht="15" customHeight="1">
      <c r="B20" s="234"/>
      <c r="C20" s="243"/>
      <c r="D20" s="269"/>
      <c r="E20" s="118" t="s">
        <v>57</v>
      </c>
      <c r="F20" s="9">
        <v>3</v>
      </c>
      <c r="G20" s="108">
        <f>[1]BULL_N11!G20</f>
        <v>4.6000000000000005</v>
      </c>
      <c r="H20" s="346"/>
      <c r="I20" s="345"/>
      <c r="J20" s="165">
        <f>IF(AND(G20&lt;10, H19&lt;10), 'SEMESTRE N°1'!J21, IF(AND(G20&gt;=10, H19&gt;=10), G20, IF(AND(G20&gt;=10, H19&lt;10), G20, IF(AND(G20&lt;10, H19&gt;=10), G20, ""))))</f>
        <v>14</v>
      </c>
      <c r="K20" s="293"/>
      <c r="L20" s="293"/>
      <c r="M20" s="263"/>
    </row>
    <row r="21" spans="1:13" ht="15" customHeight="1">
      <c r="B21" s="234"/>
      <c r="C21" s="243" t="s">
        <v>58</v>
      </c>
      <c r="D21" s="268" t="s">
        <v>59</v>
      </c>
      <c r="E21" s="118" t="s">
        <v>169</v>
      </c>
      <c r="F21" s="9">
        <v>5</v>
      </c>
      <c r="G21" s="108">
        <f>[1]BULL_N11!G21</f>
        <v>6.2</v>
      </c>
      <c r="H21" s="345">
        <f>IF(AND(G21&gt;=7, G22&gt;=7, G23&gt;=7), ROUND(((F21*G21) + (F22*G22)+ (F23*G23)) / (F21 + F22+F23), 2), 0)</f>
        <v>0</v>
      </c>
      <c r="I21" s="345">
        <f>IF(H21&gt;9.99,(F21+F22+F23),0)</f>
        <v>0</v>
      </c>
      <c r="J21" s="165">
        <f>IF(AND(G21&lt;10, H21&lt;10), 'SEMESTRE N°1'!M21, IF(AND(G21&gt;=10, H21&gt;=10), G21, IF(AND(G21&gt;=10, H21&lt;10), G21, IF(AND(G21&lt;10, H21&gt;=10), G21, ""))))</f>
        <v>8</v>
      </c>
      <c r="K21" s="326">
        <f>IF(AND(J21&gt;=7, J22&gt;=7, J23&gt;=7), ROUND(((F21*J21) + (F22*J22)+ (F23*J23)) / (F21 + F22+F23), 2), 0)</f>
        <v>0</v>
      </c>
      <c r="L21" s="323">
        <f>IF(K21&gt;9.99,(F21+F22+F23),0)</f>
        <v>0</v>
      </c>
      <c r="M21" s="251" t="str">
        <f>IF(K21&gt;9.99,"Validé","Non validé")</f>
        <v>Non validé</v>
      </c>
    </row>
    <row r="22" spans="1:13" ht="15" customHeight="1">
      <c r="B22" s="234"/>
      <c r="C22" s="243"/>
      <c r="D22" s="279"/>
      <c r="E22" s="118" t="s">
        <v>61</v>
      </c>
      <c r="F22" s="9">
        <v>3</v>
      </c>
      <c r="G22" s="108">
        <f>[1]BULL_N11!G22</f>
        <v>12.22</v>
      </c>
      <c r="H22" s="346"/>
      <c r="I22" s="345"/>
      <c r="J22" s="159">
        <f>IF(AND(G22&lt;10, H21&lt;10), 'SEMESTRE N°1'!P21, IF(AND(G22&gt;=10, H21&gt;=10), G22, IF(AND(G22&gt;=10, H21&lt;10), G22, IF(AND(G22&lt;10, H21&gt;=10), G22, ""))))</f>
        <v>12.22</v>
      </c>
      <c r="K22" s="326"/>
      <c r="L22" s="324"/>
      <c r="M22" s="252"/>
    </row>
    <row r="23" spans="1:13" ht="15" customHeight="1">
      <c r="B23" s="234"/>
      <c r="C23" s="243"/>
      <c r="D23" s="269"/>
      <c r="E23" s="118" t="s">
        <v>62</v>
      </c>
      <c r="F23" s="9">
        <v>3</v>
      </c>
      <c r="G23" s="108">
        <f>[1]BULL_N11!G23</f>
        <v>2.9000000000000004</v>
      </c>
      <c r="H23" s="346"/>
      <c r="I23" s="345"/>
      <c r="J23" s="165">
        <f>G23</f>
        <v>2.9000000000000004</v>
      </c>
      <c r="K23" s="326"/>
      <c r="L23" s="325"/>
      <c r="M23" s="253"/>
    </row>
    <row r="24" spans="1:13" ht="15" customHeight="1">
      <c r="B24" s="234"/>
      <c r="C24" s="347" t="s">
        <v>63</v>
      </c>
      <c r="D24" s="268" t="s">
        <v>64</v>
      </c>
      <c r="E24" s="118" t="s">
        <v>65</v>
      </c>
      <c r="F24" s="9">
        <v>4</v>
      </c>
      <c r="G24" s="108">
        <f>[1]BULL_N11!G24</f>
        <v>1.5</v>
      </c>
      <c r="H24" s="345">
        <f>IF(AND(G24&gt;=7, G25&gt;=7), ROUND(((F24*G24) + (F25*G25)) / (F24 + F25), 2), 0)</f>
        <v>0</v>
      </c>
      <c r="I24" s="345">
        <f>IF(H24&gt;9.99,(F24+F25),0)</f>
        <v>0</v>
      </c>
      <c r="J24" s="165">
        <f>IF(AND(G24&lt;10, H24&lt;10), 'SEMESTRE N°1'!V10, IF(AND(G24&gt;=10, H24&gt;=10), G24, IF(AND(G24&gt;=10, H24&lt;10), G24, IF(AND(G24&lt;10, H24&gt;=10), G24, ""))))</f>
        <v>9</v>
      </c>
      <c r="K24" s="348">
        <f>IF(AND(J24&gt;=7, J25&gt;=7), ROUND(((F24*J24) + (F25*J25)) / (F24 + F25), 2), 0)</f>
        <v>10.029999999999999</v>
      </c>
      <c r="L24" s="348">
        <f>IF(K24&gt;9.99,(F24+F25),0)</f>
        <v>8</v>
      </c>
      <c r="M24" s="254" t="str">
        <f>IF(K24&gt;9.99,"Validé","Non validé")</f>
        <v>Validé</v>
      </c>
    </row>
    <row r="25" spans="1:13" ht="15" customHeight="1">
      <c r="B25" s="234"/>
      <c r="C25" s="347"/>
      <c r="D25" s="269"/>
      <c r="E25" s="118" t="s">
        <v>66</v>
      </c>
      <c r="F25" s="9">
        <v>4</v>
      </c>
      <c r="G25" s="108">
        <f>[1]BULL_N11!G25</f>
        <v>11.064</v>
      </c>
      <c r="H25" s="346"/>
      <c r="I25" s="345"/>
      <c r="J25" s="159">
        <f>IF(AND(G25&lt;10, H24&lt;10), 'SEMESTRE N°1'!Y21, IF(AND(G25&gt;=10, H24&gt;=10), G25, IF(AND(G25&gt;=10, H24&lt;10), G25, IF(AND(G25&lt;10, H24&gt;=10), G25, ""))))</f>
        <v>11.064</v>
      </c>
      <c r="K25" s="349"/>
      <c r="L25" s="349"/>
      <c r="M25" s="255"/>
    </row>
    <row r="26" spans="1:13" ht="15" customHeight="1">
      <c r="B26" s="234"/>
      <c r="C26" s="243" t="s">
        <v>67</v>
      </c>
      <c r="D26" s="319" t="s">
        <v>68</v>
      </c>
      <c r="E26" s="118" t="s">
        <v>69</v>
      </c>
      <c r="F26" s="9">
        <v>2</v>
      </c>
      <c r="G26" s="108">
        <f>[1]BULL_N11!G26</f>
        <v>10.4</v>
      </c>
      <c r="H26" s="345">
        <f>IF(AND(G26&gt;=7, G27&gt;=7), ROUND(((F26*G26) + (F27*G27)) / (F26 + F27), 2), 0)</f>
        <v>15.11</v>
      </c>
      <c r="I26" s="345">
        <f>IF(H26&gt;9.99,(F26+F27),0)</f>
        <v>5</v>
      </c>
      <c r="J26" s="159">
        <f>IF(AND(G26&lt;10, H26&lt;10), 'SEMESTRE N°1'!AB21, IF(AND(G26&gt;=10, H26&gt;=10), G26, IF(AND(G26&gt;=10, H26&lt;10), G26, IF(AND(G26&lt;10, H26&gt;=10), G26, ""))))</f>
        <v>10.4</v>
      </c>
      <c r="K26" s="270">
        <f>IF(AND(J26&gt;=7, J27&gt;=7), ROUND(((F26*J26) + (F27*J27)) / (F26 + F27), 2), 0)</f>
        <v>15.11</v>
      </c>
      <c r="L26" s="270">
        <f>IF(K26&gt;9.99,(F26+F27),0)</f>
        <v>5</v>
      </c>
      <c r="M26" s="254" t="str">
        <f>IF(K26&gt;9.99,"Validé","Non validé")</f>
        <v>Validé</v>
      </c>
    </row>
    <row r="27" spans="1:13">
      <c r="B27" s="234"/>
      <c r="C27" s="243"/>
      <c r="D27" s="320"/>
      <c r="E27" s="118" t="s">
        <v>70</v>
      </c>
      <c r="F27" s="9">
        <v>3</v>
      </c>
      <c r="G27" s="108">
        <f>[1]BULL_N11!G27</f>
        <v>18.248000000000001</v>
      </c>
      <c r="H27" s="346"/>
      <c r="I27" s="345"/>
      <c r="J27" s="159">
        <f>IF(AND(G27&lt;10, H26&lt;10), 'SEMESTRE N°1'!J21, IF(AND(G27&gt;=10, H26&gt;=10), G27, IF(AND(G27&gt;=10, H26&lt;10), G27, IF(AND(G27&lt;10, H26&gt;=10), G27, ""))))</f>
        <v>18.248000000000001</v>
      </c>
      <c r="K27" s="271"/>
      <c r="L27" s="322"/>
      <c r="M27" s="255"/>
    </row>
    <row r="28" spans="1:13" ht="21" customHeight="1">
      <c r="B28" s="234"/>
      <c r="C28" s="284" t="s">
        <v>71</v>
      </c>
      <c r="D28" s="285"/>
      <c r="E28" s="284"/>
      <c r="F28" s="19">
        <f>F19+F20+F21+F22+F23+F24+F25+F26+F27</f>
        <v>30</v>
      </c>
      <c r="G28" s="109"/>
      <c r="H28" s="117">
        <f>ROUND((H19+H21+H24+H26)/4,2)</f>
        <v>3.78</v>
      </c>
      <c r="I28" s="110">
        <f>I26+I24+I21+I19</f>
        <v>5</v>
      </c>
      <c r="J28" s="91"/>
      <c r="K28" s="111">
        <f>ROUND((K19+K21+K24+K26)/4,2)</f>
        <v>8.9700000000000006</v>
      </c>
      <c r="L28" s="107">
        <f>SUM(L19:L27)</f>
        <v>19</v>
      </c>
      <c r="M28" s="88"/>
    </row>
    <row r="29" spans="1:13" ht="17.100000000000001" customHeight="1">
      <c r="C29" s="11"/>
      <c r="G29" s="11"/>
    </row>
    <row r="30" spans="1:13" ht="17.100000000000001" customHeight="1">
      <c r="B30" s="266" t="s">
        <v>72</v>
      </c>
      <c r="C30" s="267"/>
      <c r="D30" s="21">
        <f>L28</f>
        <v>19</v>
      </c>
      <c r="E30" s="12"/>
      <c r="F30" s="13"/>
      <c r="G30" s="14"/>
      <c r="H30" s="15"/>
      <c r="I30" s="15"/>
      <c r="J30" s="275" t="s">
        <v>73</v>
      </c>
      <c r="K30" s="275"/>
      <c r="L30" s="275"/>
      <c r="M30" s="275"/>
    </row>
    <row r="31" spans="1:13" ht="17.100000000000001" customHeight="1">
      <c r="B31" s="266" t="s">
        <v>74</v>
      </c>
      <c r="C31" s="267"/>
      <c r="D31" s="22" t="str">
        <f>IF(D30=F28,"Semestre validé","Semestre non validé")</f>
        <v>Semestre non validé</v>
      </c>
      <c r="E31" s="13"/>
      <c r="F31" s="13"/>
      <c r="G31" s="16"/>
      <c r="H31" s="36"/>
      <c r="I31" s="36"/>
      <c r="J31" s="36"/>
      <c r="K31" s="36"/>
      <c r="L31" s="13"/>
    </row>
    <row r="32" spans="1:13" ht="17.100000000000001" customHeight="1">
      <c r="B32" s="266" t="s">
        <v>75</v>
      </c>
      <c r="C32" s="267"/>
      <c r="D32" s="1">
        <v>0</v>
      </c>
      <c r="E32" s="13"/>
      <c r="F32" s="13"/>
      <c r="G32" s="16"/>
      <c r="H32" s="13"/>
      <c r="I32" s="13"/>
      <c r="J32" s="13"/>
    </row>
    <row r="33" spans="2:13" ht="17.100000000000001" customHeight="1">
      <c r="B33" s="113"/>
      <c r="C33" s="113"/>
      <c r="D33" s="1"/>
      <c r="E33" s="13"/>
      <c r="F33" s="13"/>
      <c r="G33" s="16"/>
      <c r="H33" s="13"/>
      <c r="I33" s="13"/>
      <c r="J33" s="13"/>
    </row>
    <row r="34" spans="2:13" ht="17.100000000000001" customHeight="1">
      <c r="B34" s="59"/>
      <c r="C34" s="59"/>
      <c r="D34" s="1"/>
      <c r="E34" s="13"/>
      <c r="F34" s="13"/>
      <c r="G34" s="16"/>
      <c r="H34" s="13"/>
      <c r="I34" s="13"/>
      <c r="J34" s="13"/>
    </row>
    <row r="35" spans="2:13" ht="17.100000000000001" customHeight="1">
      <c r="C35" s="16"/>
      <c r="D35" s="13"/>
      <c r="E35" s="13"/>
      <c r="F35" s="13"/>
      <c r="G35" s="275" t="s">
        <v>76</v>
      </c>
      <c r="H35" s="275"/>
      <c r="I35" s="275"/>
      <c r="J35" s="275"/>
      <c r="K35" s="275"/>
      <c r="L35" s="275"/>
      <c r="M35" s="275"/>
    </row>
    <row r="36" spans="2:13" ht="17.100000000000001" customHeight="1">
      <c r="B36" s="308" t="s">
        <v>77</v>
      </c>
      <c r="C36" s="308"/>
      <c r="D36" s="308"/>
      <c r="E36" s="308"/>
      <c r="F36" s="308"/>
      <c r="G36" s="308"/>
      <c r="H36" s="308"/>
      <c r="I36" s="308"/>
      <c r="J36" s="308"/>
      <c r="K36" s="308"/>
      <c r="L36" s="308"/>
      <c r="M36" s="308"/>
    </row>
    <row r="37" spans="2:13" ht="17.100000000000001" customHeight="1">
      <c r="B37" s="308"/>
      <c r="C37" s="308"/>
      <c r="D37" s="308"/>
      <c r="E37" s="308"/>
      <c r="F37" s="308"/>
      <c r="G37" s="308"/>
      <c r="H37" s="308"/>
      <c r="I37" s="308"/>
      <c r="J37" s="308"/>
      <c r="K37" s="308"/>
      <c r="L37" s="308"/>
      <c r="M37" s="308"/>
    </row>
    <row r="38" spans="2:13" ht="17.100000000000001" customHeight="1"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</row>
    <row r="39" spans="2:13" hidden="1">
      <c r="B39" s="18" t="s">
        <v>78</v>
      </c>
    </row>
  </sheetData>
  <mergeCells count="58">
    <mergeCell ref="B36:M37"/>
    <mergeCell ref="B32:C32"/>
    <mergeCell ref="G35:M35"/>
    <mergeCell ref="L26:L27"/>
    <mergeCell ref="C28:E28"/>
    <mergeCell ref="B30:C30"/>
    <mergeCell ref="B31:C31"/>
    <mergeCell ref="B17:B28"/>
    <mergeCell ref="C17:D18"/>
    <mergeCell ref="E17:E18"/>
    <mergeCell ref="F17:F18"/>
    <mergeCell ref="H17:I17"/>
    <mergeCell ref="M24:M25"/>
    <mergeCell ref="M26:M27"/>
    <mergeCell ref="L24:L25"/>
    <mergeCell ref="C26:C27"/>
    <mergeCell ref="D26:D27"/>
    <mergeCell ref="H26:H27"/>
    <mergeCell ref="I26:I27"/>
    <mergeCell ref="K26:K27"/>
    <mergeCell ref="C24:C25"/>
    <mergeCell ref="D24:D25"/>
    <mergeCell ref="H24:H25"/>
    <mergeCell ref="I24:I25"/>
    <mergeCell ref="K24:K25"/>
    <mergeCell ref="L19:L20"/>
    <mergeCell ref="L21:L23"/>
    <mergeCell ref="C19:C20"/>
    <mergeCell ref="D19:D20"/>
    <mergeCell ref="H19:H20"/>
    <mergeCell ref="I19:I20"/>
    <mergeCell ref="K19:K20"/>
    <mergeCell ref="C21:C23"/>
    <mergeCell ref="D21:D23"/>
    <mergeCell ref="H21:H23"/>
    <mergeCell ref="I21:I23"/>
    <mergeCell ref="K21:K23"/>
    <mergeCell ref="G14:L14"/>
    <mergeCell ref="B15:D16"/>
    <mergeCell ref="E15:F16"/>
    <mergeCell ref="G16:I16"/>
    <mergeCell ref="G15:M15"/>
    <mergeCell ref="K17:L17"/>
    <mergeCell ref="E5:M8"/>
    <mergeCell ref="B9:M9"/>
    <mergeCell ref="J30:M30"/>
    <mergeCell ref="J16:L16"/>
    <mergeCell ref="M16:M18"/>
    <mergeCell ref="M19:M20"/>
    <mergeCell ref="M21:M23"/>
    <mergeCell ref="C11:E11"/>
    <mergeCell ref="G11:L11"/>
    <mergeCell ref="B12:C12"/>
    <mergeCell ref="D12:E12"/>
    <mergeCell ref="G12:L12"/>
    <mergeCell ref="C13:E13"/>
    <mergeCell ref="G13:L13"/>
    <mergeCell ref="C14:E14"/>
  </mergeCells>
  <pageMargins left="0" right="0" top="0" bottom="0" header="0" footer="0"/>
  <pageSetup paperSize="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D3636-B6F7-43DE-9057-EEDED40A1534}">
  <sheetPr codeName="Feuil14">
    <tabColor rgb="FF7030A0"/>
  </sheetPr>
  <dimension ref="A5:M39"/>
  <sheetViews>
    <sheetView showGridLines="0" view="pageLayout" topLeftCell="A6" zoomScale="90" zoomScaleNormal="100" zoomScalePageLayoutView="90" workbookViewId="0">
      <selection activeCell="D12" sqref="D12:E12"/>
    </sheetView>
  </sheetViews>
  <sheetFormatPr baseColWidth="10" defaultColWidth="10.88671875" defaultRowHeight="14.4"/>
  <cols>
    <col min="1" max="1" width="3.6640625" style="5" customWidth="1"/>
    <col min="2" max="2" width="10.88671875" style="5"/>
    <col min="3" max="3" width="10.109375" style="5" customWidth="1"/>
    <col min="4" max="4" width="17.44140625" style="5" customWidth="1"/>
    <col min="5" max="5" width="28.109375" style="5" customWidth="1"/>
    <col min="6" max="6" width="10.88671875" style="5" customWidth="1"/>
    <col min="7" max="9" width="7.6640625" style="5" customWidth="1"/>
    <col min="10" max="12" width="8.6640625" style="5" customWidth="1"/>
    <col min="13" max="13" width="12.6640625" style="5" customWidth="1"/>
    <col min="14" max="14" width="4.6640625" style="5" customWidth="1"/>
    <col min="15" max="16384" width="10.88671875" style="5"/>
  </cols>
  <sheetData>
    <row r="5" spans="1:13" ht="15" customHeight="1">
      <c r="E5" s="288" t="s">
        <v>162</v>
      </c>
      <c r="F5" s="229"/>
      <c r="G5" s="229"/>
      <c r="H5" s="229"/>
      <c r="I5" s="229"/>
      <c r="J5" s="229"/>
      <c r="K5" s="229"/>
      <c r="L5" s="229"/>
      <c r="M5" s="229"/>
    </row>
    <row r="6" spans="1:13">
      <c r="E6" s="229"/>
      <c r="F6" s="229"/>
      <c r="G6" s="229"/>
      <c r="H6" s="229"/>
      <c r="I6" s="229"/>
      <c r="J6" s="229"/>
      <c r="K6" s="229"/>
      <c r="L6" s="229"/>
      <c r="M6" s="229"/>
    </row>
    <row r="7" spans="1:13">
      <c r="E7" s="229"/>
      <c r="F7" s="229"/>
      <c r="G7" s="229"/>
      <c r="H7" s="229"/>
      <c r="I7" s="229"/>
      <c r="J7" s="229"/>
      <c r="K7" s="229"/>
      <c r="L7" s="229"/>
      <c r="M7" s="229"/>
    </row>
    <row r="8" spans="1:13">
      <c r="E8" s="230"/>
      <c r="F8" s="230"/>
      <c r="G8" s="230"/>
      <c r="H8" s="230"/>
      <c r="I8" s="230"/>
      <c r="J8" s="230"/>
      <c r="K8" s="230"/>
      <c r="L8" s="230"/>
      <c r="M8" s="230"/>
    </row>
    <row r="9" spans="1:13" ht="18" customHeight="1">
      <c r="B9" s="316" t="s">
        <v>35</v>
      </c>
      <c r="C9" s="317"/>
      <c r="D9" s="317"/>
      <c r="E9" s="317"/>
      <c r="F9" s="317"/>
      <c r="G9" s="317"/>
      <c r="H9" s="317"/>
      <c r="I9" s="317"/>
      <c r="J9" s="317"/>
      <c r="K9" s="317"/>
      <c r="L9" s="317"/>
      <c r="M9" s="318"/>
    </row>
    <row r="10" spans="1:13" ht="11.25" customHeight="1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1:13" ht="15" customHeight="1">
      <c r="B11" s="6" t="s">
        <v>36</v>
      </c>
      <c r="C11" s="291" t="str">
        <f>'SEMESTRE N°1'!A22</f>
        <v>IPANI Lidia Miriam</v>
      </c>
      <c r="D11" s="292"/>
      <c r="E11" s="292"/>
      <c r="F11" s="6" t="s">
        <v>37</v>
      </c>
      <c r="G11" s="294" t="str">
        <f>B39</f>
        <v>Licence Pro. Informatique-1ère année Tronc commun</v>
      </c>
      <c r="H11" s="294"/>
      <c r="I11" s="294"/>
      <c r="J11" s="294"/>
      <c r="K11" s="294"/>
      <c r="L11" s="294"/>
    </row>
    <row r="12" spans="1:13" ht="15" customHeight="1">
      <c r="B12" s="246" t="s">
        <v>38</v>
      </c>
      <c r="C12" s="246"/>
      <c r="D12" s="295">
        <f>'SEMESTRE N°1'!B22</f>
        <v>38014</v>
      </c>
      <c r="E12" s="294"/>
      <c r="F12" s="6" t="s">
        <v>29</v>
      </c>
      <c r="G12" s="294" t="str">
        <f>'SEMESTRE N°1'!E22</f>
        <v>TC-1</v>
      </c>
      <c r="H12" s="294"/>
      <c r="I12" s="294"/>
      <c r="J12" s="294"/>
      <c r="K12" s="294"/>
      <c r="L12" s="294"/>
    </row>
    <row r="13" spans="1:13" ht="15" customHeight="1">
      <c r="B13" s="6" t="s">
        <v>39</v>
      </c>
      <c r="C13" s="291" t="str">
        <f>'SEMESTRE N°1'!C22</f>
        <v>Gabonaise</v>
      </c>
      <c r="D13" s="292"/>
      <c r="E13" s="292"/>
      <c r="F13" s="6" t="s">
        <v>40</v>
      </c>
      <c r="G13" s="249"/>
      <c r="H13" s="249"/>
      <c r="I13" s="249"/>
      <c r="J13" s="249"/>
      <c r="K13" s="249"/>
      <c r="L13" s="249"/>
    </row>
    <row r="14" spans="1:13" ht="15" customHeight="1">
      <c r="B14" s="6" t="s">
        <v>41</v>
      </c>
      <c r="C14" s="305" t="str">
        <f>'SEMESTRE N°1'!D22</f>
        <v>132024</v>
      </c>
      <c r="D14" s="294"/>
      <c r="E14" s="294"/>
      <c r="F14" s="6" t="s">
        <v>42</v>
      </c>
      <c r="G14" s="249"/>
      <c r="H14" s="249"/>
      <c r="I14" s="249"/>
      <c r="J14" s="249"/>
      <c r="K14" s="249"/>
      <c r="L14" s="249"/>
    </row>
    <row r="15" spans="1:13">
      <c r="A15" s="114"/>
      <c r="B15" s="282" t="s">
        <v>43</v>
      </c>
      <c r="C15" s="283"/>
      <c r="D15" s="283"/>
      <c r="E15" s="283" t="s">
        <v>17</v>
      </c>
      <c r="F15" s="283"/>
      <c r="G15" s="342" t="s">
        <v>44</v>
      </c>
      <c r="H15" s="343"/>
      <c r="I15" s="343"/>
      <c r="J15" s="343"/>
      <c r="K15" s="343"/>
      <c r="L15" s="343"/>
      <c r="M15" s="344"/>
    </row>
    <row r="16" spans="1:13">
      <c r="A16" s="114"/>
      <c r="B16" s="282"/>
      <c r="C16" s="283"/>
      <c r="D16" s="283"/>
      <c r="E16" s="283"/>
      <c r="F16" s="283"/>
      <c r="G16" s="240" t="s">
        <v>83</v>
      </c>
      <c r="H16" s="240"/>
      <c r="I16" s="240"/>
      <c r="J16" s="256" t="s">
        <v>46</v>
      </c>
      <c r="K16" s="257"/>
      <c r="L16" s="338"/>
      <c r="M16" s="339" t="s">
        <v>47</v>
      </c>
    </row>
    <row r="17" spans="2:13">
      <c r="B17" s="357" t="s">
        <v>48</v>
      </c>
      <c r="C17" s="272" t="s">
        <v>49</v>
      </c>
      <c r="D17" s="272"/>
      <c r="E17" s="350" t="s">
        <v>49</v>
      </c>
      <c r="F17" s="272" t="s">
        <v>50</v>
      </c>
      <c r="G17" s="2" t="s">
        <v>51</v>
      </c>
      <c r="H17" s="272" t="s">
        <v>52</v>
      </c>
      <c r="I17" s="272"/>
      <c r="J17" s="119" t="s">
        <v>51</v>
      </c>
      <c r="K17" s="262" t="s">
        <v>52</v>
      </c>
      <c r="L17" s="337"/>
      <c r="M17" s="340"/>
    </row>
    <row r="18" spans="2:13">
      <c r="B18" s="234"/>
      <c r="C18" s="272"/>
      <c r="D18" s="274"/>
      <c r="E18" s="350"/>
      <c r="F18" s="272"/>
      <c r="G18" s="60" t="s">
        <v>53</v>
      </c>
      <c r="H18" s="60" t="s">
        <v>53</v>
      </c>
      <c r="I18" s="60" t="s">
        <v>50</v>
      </c>
      <c r="J18" s="87" t="s">
        <v>53</v>
      </c>
      <c r="K18" s="87" t="s">
        <v>53</v>
      </c>
      <c r="L18" s="87" t="s">
        <v>50</v>
      </c>
      <c r="M18" s="341"/>
    </row>
    <row r="19" spans="2:13" ht="17.100000000000001" customHeight="1">
      <c r="B19" s="234"/>
      <c r="C19" s="351" t="s">
        <v>54</v>
      </c>
      <c r="D19" s="268" t="s">
        <v>55</v>
      </c>
      <c r="E19" s="118" t="s">
        <v>56</v>
      </c>
      <c r="F19" s="9">
        <v>3</v>
      </c>
      <c r="G19" s="97">
        <f>[1]BULL_N12!G19</f>
        <v>3.2</v>
      </c>
      <c r="H19" s="352">
        <f>IF(AND(G19&gt;=7, G20&gt;=7), ROUND(((F19*G19) + (F20*G20)) / (F19 + F20), 2), 0)</f>
        <v>0</v>
      </c>
      <c r="I19" s="352">
        <f>IF(H19&gt;9.99,(F19+F20),0)</f>
        <v>0</v>
      </c>
      <c r="J19" s="165">
        <f>IF(AND(G19&lt;10, H19&lt;10), 'SEMESTRE N°1'!G22, IF(AND(G19&gt;=10, H19&gt;=10), G19, IF(AND(G19&gt;=10, H19&lt;10), G19, IF(AND(G19&lt;10, H19&gt;=10), G19, ""))))</f>
        <v>10</v>
      </c>
      <c r="K19" s="293">
        <f>IF(AND(J19&gt;=7, J20&gt;=7), ROUND(((F19*J19) + (F20*J20)) / (F19 + F20), 2), 0)</f>
        <v>11.5</v>
      </c>
      <c r="L19" s="293">
        <f>IF(K19&gt;9.99,(F19+F20),0)</f>
        <v>6</v>
      </c>
      <c r="M19" s="263" t="str">
        <f>IF(K19&gt;9.99,"Validé","Non validé")</f>
        <v>Validé</v>
      </c>
    </row>
    <row r="20" spans="2:13" ht="17.100000000000001" customHeight="1">
      <c r="B20" s="234"/>
      <c r="C20" s="351"/>
      <c r="D20" s="269"/>
      <c r="E20" s="118" t="s">
        <v>57</v>
      </c>
      <c r="F20" s="9">
        <v>3</v>
      </c>
      <c r="G20" s="97">
        <f>[1]BULL_N12!G20</f>
        <v>7.6</v>
      </c>
      <c r="H20" s="353"/>
      <c r="I20" s="352"/>
      <c r="J20" s="165">
        <f>IF(AND(G20&lt;10, H19&lt;10), 'SEMESTRE N°1'!J22, IF(AND(G20&gt;=10, H19&gt;=10), G20, IF(AND(G20&gt;=10, H19&lt;10), G20, IF(AND(G20&lt;10, H19&gt;=10), G20, ""))))</f>
        <v>13</v>
      </c>
      <c r="K20" s="293"/>
      <c r="L20" s="293"/>
      <c r="M20" s="263"/>
    </row>
    <row r="21" spans="2:13" ht="17.100000000000001" customHeight="1">
      <c r="B21" s="234"/>
      <c r="C21" s="354" t="s">
        <v>58</v>
      </c>
      <c r="D21" s="268" t="s">
        <v>59</v>
      </c>
      <c r="E21" s="118" t="s">
        <v>169</v>
      </c>
      <c r="F21" s="9">
        <v>5</v>
      </c>
      <c r="G21" s="97">
        <f>[1]BULL_N12!G21</f>
        <v>9</v>
      </c>
      <c r="H21" s="352">
        <f>IF(AND(G21&gt;=7, G22&gt;=7, G23&gt;=7), ROUND(((F21*G21) + (F22*G22)+ (F23*G23)) / (F21 + F22+F23), 2), 0)</f>
        <v>0</v>
      </c>
      <c r="I21" s="352">
        <f>IF(H21&gt;9.99,(F21+F22+F23),0)</f>
        <v>0</v>
      </c>
      <c r="J21" s="165">
        <f>IF(AND(G21&lt;10, H21&lt;10), 'SEMESTRE N°1'!M22, IF(AND(G21&gt;=10, H21&gt;=10), G21, IF(AND(G21&gt;=10, H21&lt;10), G21, IF(AND(G21&lt;10, H21&gt;=10), G21, ""))))</f>
        <v>11</v>
      </c>
      <c r="K21" s="326">
        <f>IF(AND(J21&gt;=7, J22&gt;=7, J23&gt;=7), ROUND(((F21*J21) + (F22*J22)+ (F23*J23)) / (F21 + F22+F23), 2), 0)</f>
        <v>0</v>
      </c>
      <c r="L21" s="323">
        <f>IF(K21&gt;9.99,(F21+F22+F23),0)</f>
        <v>0</v>
      </c>
      <c r="M21" s="251" t="str">
        <f>IF(K21&gt;9.99,"Validé","Non validé")</f>
        <v>Non validé</v>
      </c>
    </row>
    <row r="22" spans="2:13" ht="17.100000000000001" customHeight="1">
      <c r="B22" s="234"/>
      <c r="C22" s="243"/>
      <c r="D22" s="279"/>
      <c r="E22" s="118" t="s">
        <v>61</v>
      </c>
      <c r="F22" s="9">
        <v>3</v>
      </c>
      <c r="G22" s="97">
        <f>[1]BULL_N12!G22</f>
        <v>8.76</v>
      </c>
      <c r="H22" s="353"/>
      <c r="I22" s="352"/>
      <c r="J22" s="165">
        <f>G22</f>
        <v>8.76</v>
      </c>
      <c r="K22" s="326"/>
      <c r="L22" s="324"/>
      <c r="M22" s="252"/>
    </row>
    <row r="23" spans="2:13" ht="17.100000000000001" customHeight="1">
      <c r="B23" s="234"/>
      <c r="C23" s="243"/>
      <c r="D23" s="269"/>
      <c r="E23" s="118" t="s">
        <v>62</v>
      </c>
      <c r="F23" s="9">
        <v>3</v>
      </c>
      <c r="G23" s="97">
        <f>[1]BULL_N12!G23</f>
        <v>4.45</v>
      </c>
      <c r="H23" s="353"/>
      <c r="I23" s="352"/>
      <c r="J23" s="165">
        <f>IF(AND(G23&lt;10, H21&lt;10), 'SEMESTRE N°1'!S22, IF(AND(G23&gt;=10, H21&gt;=10), G23, IF(AND(G23&gt;=10, H21&lt;10), G23, IF(AND(G23&lt;10, H21&gt;=10), G23, ""))))</f>
        <v>5</v>
      </c>
      <c r="K23" s="326"/>
      <c r="L23" s="325"/>
      <c r="M23" s="253"/>
    </row>
    <row r="24" spans="2:13" ht="17.100000000000001" customHeight="1">
      <c r="B24" s="234"/>
      <c r="C24" s="243" t="s">
        <v>63</v>
      </c>
      <c r="D24" s="268" t="s">
        <v>64</v>
      </c>
      <c r="E24" s="118" t="s">
        <v>65</v>
      </c>
      <c r="F24" s="9">
        <v>4</v>
      </c>
      <c r="G24" s="97">
        <f>[1]BULL_N12!G24</f>
        <v>3.8</v>
      </c>
      <c r="H24" s="352">
        <f>IF(AND(G24&gt;=7, G25&gt;=7), ROUND(((F24*G24) + (F25*G25)) / (F24 + F25), 2), 0)</f>
        <v>0</v>
      </c>
      <c r="I24" s="352">
        <f>IF(H24&gt;9.99,(F24+F25),0)</f>
        <v>0</v>
      </c>
      <c r="J24" s="165">
        <f>IF(AND(G24&lt;10, H24&lt;10), 'SEMESTRE N°1'!V22, IF(AND(G24&gt;=10, H24&gt;=10), G24, IF(AND(G24&gt;=10, H24&lt;10), G24, IF(AND(G24&lt;10, H24&gt;=10), G24, ""))))</f>
        <v>9.75</v>
      </c>
      <c r="K24" s="348">
        <f>IF(AND(J24&gt;=7, J25&gt;=7), ROUND(((F24*J24) + (F25*J25)) / (F24 + F25), 2), 0)</f>
        <v>10.11</v>
      </c>
      <c r="L24" s="348">
        <f>IF(K24&gt;9.99,(F24+F25),0)</f>
        <v>8</v>
      </c>
      <c r="M24" s="254" t="str">
        <f>IF(K24&gt;9.99,"Validé","Non validé")</f>
        <v>Validé</v>
      </c>
    </row>
    <row r="25" spans="2:13" ht="17.100000000000001" customHeight="1">
      <c r="B25" s="234"/>
      <c r="C25" s="243"/>
      <c r="D25" s="269"/>
      <c r="E25" s="118" t="s">
        <v>66</v>
      </c>
      <c r="F25" s="9">
        <v>4</v>
      </c>
      <c r="G25" s="97">
        <f>[1]BULL_N12!G25</f>
        <v>10.464</v>
      </c>
      <c r="H25" s="353"/>
      <c r="I25" s="352"/>
      <c r="J25" s="159">
        <f>IF(AND(G25&lt;10, H24&lt;10), 'SEMESTRE N°1'!Y22, IF(AND(G25&gt;=10, H24&gt;=10), G25, IF(AND(G25&gt;=10, H24&lt;10), G25, IF(AND(G25&lt;10, H24&gt;=10), G25, ""))))</f>
        <v>10.464</v>
      </c>
      <c r="K25" s="349"/>
      <c r="L25" s="349"/>
      <c r="M25" s="255"/>
    </row>
    <row r="26" spans="2:13" ht="17.100000000000001" customHeight="1">
      <c r="B26" s="234"/>
      <c r="C26" s="243" t="s">
        <v>67</v>
      </c>
      <c r="D26" s="355" t="s">
        <v>68</v>
      </c>
      <c r="E26" s="118" t="s">
        <v>69</v>
      </c>
      <c r="F26" s="9">
        <v>2</v>
      </c>
      <c r="G26" s="97">
        <f>[1]BULL_N12!G26</f>
        <v>10</v>
      </c>
      <c r="H26" s="352">
        <f>IF(AND(G26&gt;=7, G27&gt;=7), ROUND(((F26*G26) + (F27*G27)) / (F26 + F27), 2), 0)</f>
        <v>11.71</v>
      </c>
      <c r="I26" s="352">
        <f>IF(H26&gt;9.99,(F26+F27),0)</f>
        <v>5</v>
      </c>
      <c r="J26" s="159">
        <f>IF(AND(G26&lt;10, H26&lt;10), 'SEMESTRE N°1'!AB22, IF(AND(G26&gt;=10, H26&gt;=10), G26, IF(AND(G26&gt;=10, H26&lt;10), G26, IF(AND(G26&lt;10, H26&gt;=10), G26, ""))))</f>
        <v>10</v>
      </c>
      <c r="K26" s="270">
        <f>IF(AND(J26&gt;=7, J27&gt;=7), ROUND(((F26*J26) + (F27*J27)) / (F26 + F27), 2), 0)</f>
        <v>11.71</v>
      </c>
      <c r="L26" s="270">
        <f>IF(K26&gt;9.99,(F26+F27),0)</f>
        <v>5</v>
      </c>
      <c r="M26" s="254" t="str">
        <f>IF(K26&gt;9.99,"Validé","Non validé")</f>
        <v>Validé</v>
      </c>
    </row>
    <row r="27" spans="2:13">
      <c r="B27" s="234"/>
      <c r="C27" s="243"/>
      <c r="D27" s="356"/>
      <c r="E27" s="118" t="s">
        <v>70</v>
      </c>
      <c r="F27" s="9">
        <v>3</v>
      </c>
      <c r="G27" s="97">
        <f>[1]BULL_N12!G27</f>
        <v>12.847999999999999</v>
      </c>
      <c r="H27" s="353"/>
      <c r="I27" s="352"/>
      <c r="J27" s="159">
        <f>IF(AND(G27&lt;10, H26&lt;10), 'SEMESTRE N°1'!J22, IF(AND(G27&gt;=10, H26&gt;=10), G27, IF(AND(G27&gt;=10, H26&lt;10), G27, IF(AND(G27&lt;10, H26&gt;=10), G27, ""))))</f>
        <v>12.847999999999999</v>
      </c>
      <c r="K27" s="271"/>
      <c r="L27" s="322"/>
      <c r="M27" s="255"/>
    </row>
    <row r="28" spans="2:13" ht="18.899999999999999" customHeight="1">
      <c r="B28" s="234"/>
      <c r="C28" s="284" t="s">
        <v>71</v>
      </c>
      <c r="D28" s="285"/>
      <c r="E28" s="284"/>
      <c r="F28" s="19">
        <f>F19+F20+F21+F22+F23+F24+F25+F26+F27</f>
        <v>30</v>
      </c>
      <c r="G28" s="98"/>
      <c r="H28" s="155">
        <f>ROUND((H19+H21+H24+H26)/4,2)</f>
        <v>2.93</v>
      </c>
      <c r="I28" s="177">
        <f>I26+I24+I21+I19</f>
        <v>5</v>
      </c>
      <c r="J28" s="91"/>
      <c r="K28" s="106">
        <f>ROUND((K19+K21+K24+K26)/4,2)</f>
        <v>8.33</v>
      </c>
      <c r="L28" s="107">
        <f>SUM(L19:L27)</f>
        <v>19</v>
      </c>
      <c r="M28" s="88"/>
    </row>
    <row r="29" spans="2:13" ht="12.6" customHeight="1">
      <c r="C29" s="11"/>
      <c r="G29" s="11"/>
    </row>
    <row r="30" spans="2:13" ht="18">
      <c r="B30" s="266" t="s">
        <v>72</v>
      </c>
      <c r="C30" s="267"/>
      <c r="D30" s="21">
        <f>L26+L24+L21+L19</f>
        <v>19</v>
      </c>
      <c r="E30" s="12"/>
      <c r="F30" s="13"/>
      <c r="G30" s="14"/>
      <c r="H30" s="15"/>
      <c r="I30" s="15"/>
      <c r="J30" s="330" t="s">
        <v>73</v>
      </c>
      <c r="K30" s="330"/>
      <c r="L30" s="330"/>
      <c r="M30" s="330"/>
    </row>
    <row r="31" spans="2:13">
      <c r="B31" s="266" t="s">
        <v>74</v>
      </c>
      <c r="C31" s="267"/>
      <c r="D31" s="22" t="str">
        <f>IF(D30=F28,"Semestre validé","Semestre non validé")</f>
        <v>Semestre non validé</v>
      </c>
      <c r="E31" s="13"/>
      <c r="F31" s="13"/>
      <c r="G31" s="16"/>
      <c r="L31" s="13"/>
    </row>
    <row r="32" spans="2:13">
      <c r="B32" s="266" t="s">
        <v>75</v>
      </c>
      <c r="C32" s="267"/>
      <c r="D32" s="1">
        <v>0</v>
      </c>
      <c r="E32" s="13"/>
      <c r="F32" s="13"/>
      <c r="G32" s="16"/>
      <c r="L32" s="13"/>
    </row>
    <row r="33" spans="2:13">
      <c r="B33" s="113"/>
      <c r="C33" s="113"/>
      <c r="D33" s="1"/>
      <c r="E33" s="13"/>
      <c r="F33" s="13"/>
      <c r="G33" s="16"/>
      <c r="L33" s="13"/>
    </row>
    <row r="34" spans="2:13">
      <c r="E34" s="13"/>
      <c r="F34" s="13"/>
      <c r="G34" s="16"/>
      <c r="H34" s="13"/>
      <c r="I34" s="13"/>
      <c r="J34" s="13"/>
    </row>
    <row r="35" spans="2:13" ht="15" customHeight="1">
      <c r="C35" s="16"/>
      <c r="D35" s="13"/>
      <c r="E35" s="13"/>
      <c r="F35" s="13"/>
      <c r="G35" s="332" t="s">
        <v>76</v>
      </c>
      <c r="H35" s="332"/>
      <c r="I35" s="332"/>
      <c r="J35" s="332"/>
      <c r="K35" s="332"/>
      <c r="L35" s="332"/>
      <c r="M35" s="332"/>
    </row>
    <row r="36" spans="2:13" ht="15" customHeight="1">
      <c r="B36" s="308" t="s">
        <v>77</v>
      </c>
      <c r="C36" s="308"/>
      <c r="D36" s="308"/>
      <c r="E36" s="308"/>
      <c r="F36" s="308"/>
      <c r="G36" s="308"/>
      <c r="H36" s="308"/>
      <c r="I36" s="308"/>
      <c r="J36" s="308"/>
      <c r="K36" s="308"/>
      <c r="L36" s="308"/>
      <c r="M36" s="308"/>
    </row>
    <row r="37" spans="2:13" ht="19.5" customHeight="1">
      <c r="B37" s="308"/>
      <c r="C37" s="308"/>
      <c r="D37" s="308"/>
      <c r="E37" s="308"/>
      <c r="F37" s="308"/>
      <c r="G37" s="308"/>
      <c r="H37" s="308"/>
      <c r="I37" s="308"/>
      <c r="J37" s="308"/>
      <c r="K37" s="308"/>
      <c r="L37" s="308"/>
      <c r="M37" s="308"/>
    </row>
    <row r="38" spans="2:13">
      <c r="B38" s="123"/>
      <c r="C38" s="123"/>
      <c r="D38" s="123"/>
      <c r="E38" s="123"/>
      <c r="F38" s="123"/>
      <c r="G38" s="128"/>
      <c r="H38" s="128"/>
      <c r="I38" s="128"/>
      <c r="J38" s="128"/>
      <c r="K38" s="128"/>
      <c r="L38" s="123"/>
      <c r="M38" s="123"/>
    </row>
    <row r="39" spans="2:13" hidden="1">
      <c r="B39" s="18" t="s">
        <v>78</v>
      </c>
    </row>
  </sheetData>
  <mergeCells count="58">
    <mergeCell ref="B30:C30"/>
    <mergeCell ref="B31:C31"/>
    <mergeCell ref="B32:C32"/>
    <mergeCell ref="L26:L27"/>
    <mergeCell ref="C24:C25"/>
    <mergeCell ref="D24:D25"/>
    <mergeCell ref="H24:H25"/>
    <mergeCell ref="I24:I25"/>
    <mergeCell ref="K24:K25"/>
    <mergeCell ref="L24:L25"/>
    <mergeCell ref="C26:C27"/>
    <mergeCell ref="D26:D27"/>
    <mergeCell ref="H26:H27"/>
    <mergeCell ref="I26:I27"/>
    <mergeCell ref="K26:K27"/>
    <mergeCell ref="B17:B28"/>
    <mergeCell ref="C21:C23"/>
    <mergeCell ref="D21:D23"/>
    <mergeCell ref="H21:H23"/>
    <mergeCell ref="I21:I23"/>
    <mergeCell ref="K21:K23"/>
    <mergeCell ref="C19:C20"/>
    <mergeCell ref="D19:D20"/>
    <mergeCell ref="H19:H20"/>
    <mergeCell ref="I19:I20"/>
    <mergeCell ref="K19:K20"/>
    <mergeCell ref="L21:L23"/>
    <mergeCell ref="B36:M37"/>
    <mergeCell ref="J30:M30"/>
    <mergeCell ref="J16:L16"/>
    <mergeCell ref="M16:M18"/>
    <mergeCell ref="M19:M20"/>
    <mergeCell ref="M21:M23"/>
    <mergeCell ref="B15:D16"/>
    <mergeCell ref="E15:F16"/>
    <mergeCell ref="G16:I16"/>
    <mergeCell ref="C17:D18"/>
    <mergeCell ref="E17:E18"/>
    <mergeCell ref="F17:F18"/>
    <mergeCell ref="H17:I17"/>
    <mergeCell ref="C28:E28"/>
    <mergeCell ref="L19:L20"/>
    <mergeCell ref="K17:L17"/>
    <mergeCell ref="G35:M35"/>
    <mergeCell ref="E5:M8"/>
    <mergeCell ref="M24:M25"/>
    <mergeCell ref="M26:M27"/>
    <mergeCell ref="G15:M15"/>
    <mergeCell ref="B9:M9"/>
    <mergeCell ref="C11:E11"/>
    <mergeCell ref="G11:L11"/>
    <mergeCell ref="B12:C12"/>
    <mergeCell ref="D12:E12"/>
    <mergeCell ref="G12:L12"/>
    <mergeCell ref="C13:E13"/>
    <mergeCell ref="G13:L13"/>
    <mergeCell ref="C14:E14"/>
    <mergeCell ref="G14:L14"/>
  </mergeCells>
  <pageMargins left="0" right="0" top="0" bottom="0" header="0" footer="0"/>
  <pageSetup paperSize="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B241-04AA-48D0-B298-4651A6778827}">
  <sheetPr codeName="Feuil15">
    <tabColor rgb="FF7030A0"/>
  </sheetPr>
  <dimension ref="B5:M39"/>
  <sheetViews>
    <sheetView showGridLines="0" view="pageLayout" topLeftCell="A7" zoomScaleNormal="100" workbookViewId="0">
      <selection activeCell="J19" sqref="J19"/>
    </sheetView>
  </sheetViews>
  <sheetFormatPr baseColWidth="10" defaultColWidth="10.88671875" defaultRowHeight="14.4"/>
  <cols>
    <col min="1" max="1" width="4.6640625" style="5" customWidth="1"/>
    <col min="2" max="2" width="10.88671875" style="5"/>
    <col min="3" max="3" width="10.109375" style="5" customWidth="1"/>
    <col min="4" max="4" width="16.6640625" style="5" customWidth="1"/>
    <col min="5" max="5" width="28" style="5" customWidth="1"/>
    <col min="6" max="6" width="10.6640625" style="5" customWidth="1"/>
    <col min="7" max="9" width="7.6640625" style="5" customWidth="1"/>
    <col min="10" max="10" width="7.88671875" style="5" customWidth="1"/>
    <col min="11" max="11" width="9.109375" style="5" customWidth="1"/>
    <col min="12" max="12" width="8" style="5" customWidth="1"/>
    <col min="13" max="13" width="10.6640625" style="5" customWidth="1"/>
    <col min="14" max="14" width="4.6640625" style="5" customWidth="1"/>
    <col min="15" max="16384" width="10.88671875" style="5"/>
  </cols>
  <sheetData>
    <row r="5" spans="2:13">
      <c r="E5" s="288" t="s">
        <v>162</v>
      </c>
      <c r="F5" s="229"/>
      <c r="G5" s="229"/>
      <c r="H5" s="229"/>
      <c r="I5" s="229"/>
      <c r="J5" s="229"/>
      <c r="K5" s="229"/>
      <c r="L5" s="229"/>
      <c r="M5" s="229"/>
    </row>
    <row r="6" spans="2:13">
      <c r="E6" s="229"/>
      <c r="F6" s="229"/>
      <c r="G6" s="229"/>
      <c r="H6" s="229"/>
      <c r="I6" s="229"/>
      <c r="J6" s="229"/>
      <c r="K6" s="229"/>
      <c r="L6" s="229"/>
      <c r="M6" s="229"/>
    </row>
    <row r="7" spans="2:13">
      <c r="E7" s="229"/>
      <c r="F7" s="229"/>
      <c r="G7" s="229"/>
      <c r="H7" s="229"/>
      <c r="I7" s="229"/>
      <c r="J7" s="229"/>
      <c r="K7" s="229"/>
      <c r="L7" s="229"/>
      <c r="M7" s="229"/>
    </row>
    <row r="8" spans="2:13">
      <c r="E8" s="230"/>
      <c r="F8" s="230"/>
      <c r="G8" s="230"/>
      <c r="H8" s="230"/>
      <c r="I8" s="230"/>
      <c r="J8" s="230"/>
      <c r="K8" s="230"/>
      <c r="L8" s="230"/>
      <c r="M8" s="230"/>
    </row>
    <row r="9" spans="2:13" ht="18" customHeight="1">
      <c r="B9" s="316" t="s">
        <v>35</v>
      </c>
      <c r="C9" s="317"/>
      <c r="D9" s="317"/>
      <c r="E9" s="317"/>
      <c r="F9" s="317"/>
      <c r="G9" s="317"/>
      <c r="H9" s="317"/>
      <c r="I9" s="317"/>
      <c r="J9" s="317"/>
      <c r="K9" s="317"/>
      <c r="L9" s="317"/>
      <c r="M9" s="318"/>
    </row>
    <row r="10" spans="2:13" ht="18" customHeight="1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2:13" ht="15" customHeight="1">
      <c r="B11" s="6" t="s">
        <v>36</v>
      </c>
      <c r="C11" s="291" t="str">
        <f>'SEMESTRE N°1'!A23</f>
        <v>KALLA POATY Dana Michel</v>
      </c>
      <c r="D11" s="292"/>
      <c r="E11" s="292"/>
      <c r="F11" s="6" t="s">
        <v>37</v>
      </c>
      <c r="G11" s="294" t="str">
        <f>B39</f>
        <v>Licence Pro. Informatique-1ère année Tronc commun</v>
      </c>
      <c r="H11" s="294"/>
      <c r="I11" s="294"/>
      <c r="J11" s="294"/>
      <c r="K11" s="294"/>
      <c r="L11" s="294"/>
    </row>
    <row r="12" spans="2:13" ht="15" customHeight="1">
      <c r="B12" s="246" t="s">
        <v>38</v>
      </c>
      <c r="C12" s="246"/>
      <c r="D12" s="295">
        <f>'SEMESTRE N°1'!B14</f>
        <v>39292</v>
      </c>
      <c r="E12" s="294"/>
      <c r="F12" s="6" t="s">
        <v>29</v>
      </c>
      <c r="G12" s="294" t="str">
        <f>'SEMESTRE N°1'!E23</f>
        <v>TC-1</v>
      </c>
      <c r="H12" s="294"/>
      <c r="I12" s="294"/>
      <c r="J12" s="294"/>
      <c r="K12" s="294"/>
      <c r="L12" s="294"/>
    </row>
    <row r="13" spans="2:13" ht="15" customHeight="1">
      <c r="B13" s="6" t="s">
        <v>39</v>
      </c>
      <c r="C13" s="291" t="str">
        <f>'SEMESTRE N°1'!C23</f>
        <v>Gabonaise</v>
      </c>
      <c r="D13" s="292"/>
      <c r="E13" s="292"/>
      <c r="F13" s="6" t="s">
        <v>40</v>
      </c>
      <c r="G13" s="249"/>
      <c r="H13" s="249"/>
      <c r="I13" s="249"/>
      <c r="J13" s="249"/>
      <c r="K13" s="249"/>
      <c r="L13" s="249"/>
    </row>
    <row r="14" spans="2:13" ht="15" customHeight="1">
      <c r="B14" s="6" t="s">
        <v>41</v>
      </c>
      <c r="C14" s="296" t="str">
        <f>'SEMESTRE N°1'!D23</f>
        <v>142024</v>
      </c>
      <c r="D14" s="297"/>
      <c r="E14" s="297"/>
      <c r="F14" s="6" t="s">
        <v>42</v>
      </c>
      <c r="G14" s="249"/>
      <c r="H14" s="249"/>
      <c r="I14" s="249"/>
      <c r="J14" s="249"/>
      <c r="K14" s="249"/>
      <c r="L14" s="249"/>
    </row>
    <row r="15" spans="2:13">
      <c r="B15" s="281" t="s">
        <v>43</v>
      </c>
      <c r="C15" s="281"/>
      <c r="D15" s="281"/>
      <c r="E15" s="282" t="s">
        <v>17</v>
      </c>
      <c r="F15" s="283"/>
      <c r="G15" s="342" t="s">
        <v>44</v>
      </c>
      <c r="H15" s="343"/>
      <c r="I15" s="343"/>
      <c r="J15" s="343"/>
      <c r="K15" s="343"/>
      <c r="L15" s="343"/>
      <c r="M15" s="344"/>
    </row>
    <row r="16" spans="2:13">
      <c r="B16" s="281"/>
      <c r="C16" s="281"/>
      <c r="D16" s="281"/>
      <c r="E16" s="282"/>
      <c r="F16" s="283"/>
      <c r="G16" s="240" t="s">
        <v>83</v>
      </c>
      <c r="H16" s="240"/>
      <c r="I16" s="240"/>
      <c r="J16" s="256" t="s">
        <v>46</v>
      </c>
      <c r="K16" s="257"/>
      <c r="L16" s="338"/>
      <c r="M16" s="339" t="s">
        <v>47</v>
      </c>
    </row>
    <row r="17" spans="2:13">
      <c r="B17" s="233" t="s">
        <v>48</v>
      </c>
      <c r="C17" s="273" t="s">
        <v>49</v>
      </c>
      <c r="D17" s="273"/>
      <c r="E17" s="272" t="s">
        <v>49</v>
      </c>
      <c r="F17" s="272" t="s">
        <v>50</v>
      </c>
      <c r="G17" s="2" t="s">
        <v>51</v>
      </c>
      <c r="H17" s="272" t="s">
        <v>52</v>
      </c>
      <c r="I17" s="272"/>
      <c r="J17" s="87" t="s">
        <v>51</v>
      </c>
      <c r="K17" s="262" t="s">
        <v>52</v>
      </c>
      <c r="L17" s="337"/>
      <c r="M17" s="340"/>
    </row>
    <row r="18" spans="2:13">
      <c r="B18" s="234"/>
      <c r="C18" s="272"/>
      <c r="D18" s="274"/>
      <c r="E18" s="272"/>
      <c r="F18" s="272"/>
      <c r="G18" s="60" t="s">
        <v>53</v>
      </c>
      <c r="H18" s="60" t="s">
        <v>53</v>
      </c>
      <c r="I18" s="60" t="s">
        <v>50</v>
      </c>
      <c r="J18" s="87" t="s">
        <v>53</v>
      </c>
      <c r="K18" s="87" t="s">
        <v>53</v>
      </c>
      <c r="L18" s="87" t="s">
        <v>50</v>
      </c>
      <c r="M18" s="341"/>
    </row>
    <row r="19" spans="2:13" ht="15" customHeight="1">
      <c r="B19" s="234"/>
      <c r="C19" s="243" t="s">
        <v>54</v>
      </c>
      <c r="D19" s="268" t="s">
        <v>55</v>
      </c>
      <c r="E19" s="118" t="s">
        <v>56</v>
      </c>
      <c r="F19" s="9">
        <v>3</v>
      </c>
      <c r="G19" s="108">
        <f>[1]BULL_N13!G19</f>
        <v>5.6</v>
      </c>
      <c r="H19" s="358">
        <f>IF(AND(G19&gt;=7, G20&gt;=7), ROUND(((F19*G19) + (F20*G20)) / (F19 + F20), 2), 0)</f>
        <v>0</v>
      </c>
      <c r="I19" s="358">
        <f>IF(H19&gt;9.99,(F19+F20),0)</f>
        <v>0</v>
      </c>
      <c r="J19" s="90">
        <f>IF(AND(G19&lt;10, H19&lt;10), 'SEMESTRE N°1'!G15, IF(AND(G19&gt;=10, H19&gt;=10), G19, IF(AND(G19&gt;=10, H19&lt;10), G19, IF(AND(G19&lt;10, H19&gt;=10), G19, ""))))</f>
        <v>0</v>
      </c>
      <c r="K19" s="235">
        <f>IF(AND(J19&gt;=7, J20&gt;=7), ROUND(((F19*J19) + (F20*J20)) / (F19 + F20), 2), 0)</f>
        <v>0</v>
      </c>
      <c r="L19" s="235">
        <f>IF(K19&gt;9.99,(F19+F20),0)</f>
        <v>0</v>
      </c>
      <c r="M19" s="263" t="str">
        <f>IF(K19&gt;9.99,"Validé","Non validé")</f>
        <v>Non validé</v>
      </c>
    </row>
    <row r="20" spans="2:13" ht="15" customHeight="1">
      <c r="B20" s="234"/>
      <c r="C20" s="243"/>
      <c r="D20" s="269"/>
      <c r="E20" s="118" t="s">
        <v>57</v>
      </c>
      <c r="F20" s="9">
        <v>3</v>
      </c>
      <c r="G20" s="108">
        <f>[1]BULL_N13!G20</f>
        <v>3.6</v>
      </c>
      <c r="H20" s="359"/>
      <c r="I20" s="358"/>
      <c r="J20" s="90">
        <f>IF(AND(G20&lt;10, H19&lt;10), 'SEMESTRE N°1'!J15, IF(AND(G20&gt;=10, H19&gt;=10), G20, IF(AND(G20&gt;=10, H19&lt;10), G20, IF(AND(G20&lt;10, H19&gt;=10), G20, ""))))</f>
        <v>0</v>
      </c>
      <c r="K20" s="235"/>
      <c r="L20" s="235"/>
      <c r="M20" s="263"/>
    </row>
    <row r="21" spans="2:13" ht="18" customHeight="1">
      <c r="B21" s="234"/>
      <c r="C21" s="243" t="s">
        <v>58</v>
      </c>
      <c r="D21" s="268" t="s">
        <v>59</v>
      </c>
      <c r="E21" s="118" t="s">
        <v>60</v>
      </c>
      <c r="F21" s="9">
        <v>5</v>
      </c>
      <c r="G21" s="108">
        <f>[1]BULL_N13!G21</f>
        <v>7.8000000000000007</v>
      </c>
      <c r="H21" s="358">
        <f>IF(AND(G21&gt;=7, G22&gt;=7, G23&gt;=7), ROUND(((F21*G21) + (F22*G22)+ (F23*G23)) / (F21 + F22+F23), 2), 0)</f>
        <v>0</v>
      </c>
      <c r="I21" s="358">
        <f>IF(H21&gt;9.99,(F21+F22+F23),0)</f>
        <v>0</v>
      </c>
      <c r="J21" s="165">
        <f>IF(AND(G21&lt;10, H21&lt;10), 'SEMESTRE N°1'!M15, IF(AND(G21&gt;=10, H21&gt;=10), G21, IF(AND(G21&gt;=10, H21&lt;10), G21, IF(AND(G21&lt;10, H21&gt;=10), G21, ""))))</f>
        <v>0</v>
      </c>
      <c r="K21" s="280">
        <f>IF(AND(J21&gt;=7, J22&gt;=7, J23&gt;=7), ROUND(((F21*J21) + (F22*J22)+ (F23*J23)) / (F21 + F22+F23), 2), 0)</f>
        <v>0</v>
      </c>
      <c r="L21" s="236">
        <f>IF(K21&gt;9.99,(F21+F22+F23),0)</f>
        <v>0</v>
      </c>
      <c r="M21" s="251" t="str">
        <f>IF(K21&gt;9.99,"Validé","Non validé")</f>
        <v>Non validé</v>
      </c>
    </row>
    <row r="22" spans="2:13" ht="15" customHeight="1">
      <c r="B22" s="234"/>
      <c r="C22" s="243"/>
      <c r="D22" s="279"/>
      <c r="E22" s="118" t="s">
        <v>61</v>
      </c>
      <c r="F22" s="9">
        <v>3</v>
      </c>
      <c r="G22" s="108">
        <f>[1]BULL_N13!G22</f>
        <v>9.4600000000000009</v>
      </c>
      <c r="H22" s="359"/>
      <c r="I22" s="358"/>
      <c r="J22" s="165">
        <f>IF(AND(G22&lt;10, H21&lt;10), 'SEMESTRE N°1'!P15, IF(AND(G22&gt;=10, H21&gt;=10), G22, IF(AND(G22&gt;=10, H21&lt;10), G22, IF(AND(G22&lt;10, H21&gt;=10), G22, ""))))</f>
        <v>0</v>
      </c>
      <c r="K22" s="280"/>
      <c r="L22" s="237"/>
      <c r="M22" s="252"/>
    </row>
    <row r="23" spans="2:13" ht="15" customHeight="1">
      <c r="B23" s="234"/>
      <c r="C23" s="243"/>
      <c r="D23" s="269"/>
      <c r="E23" s="118" t="s">
        <v>62</v>
      </c>
      <c r="F23" s="9">
        <v>3</v>
      </c>
      <c r="G23" s="108">
        <f>[1]BULL_N13!G23</f>
        <v>2.9</v>
      </c>
      <c r="H23" s="359"/>
      <c r="I23" s="358"/>
      <c r="J23" s="90">
        <f>IF(AND(G23&lt;10, H21&lt;10), 'SEMESTRE N°1'!J15, IF(AND(G23&gt;=10, H21&gt;=10), G23, IF(AND(G23&gt;=10, H21&lt;10), G23, IF(AND(G23&lt;10, H21&gt;=10), G23, ""))))</f>
        <v>0</v>
      </c>
      <c r="K23" s="280"/>
      <c r="L23" s="238"/>
      <c r="M23" s="253"/>
    </row>
    <row r="24" spans="2:13" ht="15" customHeight="1">
      <c r="B24" s="234"/>
      <c r="C24" s="243" t="s">
        <v>63</v>
      </c>
      <c r="D24" s="268" t="s">
        <v>64</v>
      </c>
      <c r="E24" s="118" t="s">
        <v>65</v>
      </c>
      <c r="F24" s="9">
        <v>4</v>
      </c>
      <c r="G24" s="108">
        <f>[1]BULL_N13!G24</f>
        <v>2.1</v>
      </c>
      <c r="H24" s="358">
        <f>IF(AND(G24&gt;=7, G25&gt;=7), ROUND(((F24*G24) + (F25*G25)) / (F24 + F25), 2), 0)</f>
        <v>0</v>
      </c>
      <c r="I24" s="358">
        <f>IF(H24&gt;9.99,(F24+F25),0)</f>
        <v>0</v>
      </c>
      <c r="J24" s="90">
        <f>IF(AND(G24&lt;10, H24&lt;10), 'SEMESTRE N°1'!V15, IF(AND(G24&gt;=10, H24&gt;=10), G24, IF(AND(G24&gt;=10, H24&lt;10), G24, IF(AND(G24&lt;10, H24&gt;=10), G24, ""))))</f>
        <v>0</v>
      </c>
      <c r="K24" s="286">
        <f>IF(AND(J24&gt;=7, J25&gt;=7), ROUND(((F24*J24) + (F25*J25)) / (F24 + F25), 2), 0)</f>
        <v>0</v>
      </c>
      <c r="L24" s="286">
        <f>IF(K24&gt;9.99,(F24+F25),0)</f>
        <v>0</v>
      </c>
      <c r="M24" s="254" t="str">
        <f>IF(K24&gt;9.99,"Validé","Non validé")</f>
        <v>Non validé</v>
      </c>
    </row>
    <row r="25" spans="2:13" ht="15" customHeight="1">
      <c r="B25" s="234"/>
      <c r="C25" s="243"/>
      <c r="D25" s="269"/>
      <c r="E25" s="118" t="s">
        <v>66</v>
      </c>
      <c r="F25" s="9">
        <v>4</v>
      </c>
      <c r="G25" s="108">
        <f>[1]BULL_N13!G25</f>
        <v>8.2319999999999993</v>
      </c>
      <c r="H25" s="359"/>
      <c r="I25" s="358"/>
      <c r="J25" s="90">
        <f>IF(AND(G25&lt;10, H24&lt;10), 'SEMESTRE N°1'!Y15, IF(AND(G25&gt;=10, H24&gt;=10), G25, IF(AND(G25&gt;=10, H24&lt;10), G25, IF(AND(G25&lt;10, H24&gt;=10), G25, ""))))</f>
        <v>0</v>
      </c>
      <c r="K25" s="287"/>
      <c r="L25" s="287"/>
      <c r="M25" s="255"/>
    </row>
    <row r="26" spans="2:13" ht="15" customHeight="1">
      <c r="B26" s="234"/>
      <c r="C26" s="243" t="s">
        <v>67</v>
      </c>
      <c r="D26" s="319" t="s">
        <v>68</v>
      </c>
      <c r="E26" s="118" t="s">
        <v>69</v>
      </c>
      <c r="F26" s="9">
        <v>2</v>
      </c>
      <c r="G26" s="108">
        <f>[1]BULL_N13!G26</f>
        <v>9</v>
      </c>
      <c r="H26" s="358">
        <f>IF(AND(G26&gt;=7, G27&gt;=7), ROUND(((F26*G26) + (F27*G27)) / (F26 + F27), 2), 0)</f>
        <v>11.73</v>
      </c>
      <c r="I26" s="358">
        <f>IF(H26&gt;9.99,(F26+F27),0)</f>
        <v>5</v>
      </c>
      <c r="J26" s="159">
        <f>IF(AND(G26&lt;10, H26&lt;10), 'SEMESTRE N°1'!AB25, IF(AND(G26&gt;=10, H26&gt;=10), G26, IF(AND(G26&gt;=10, H26&lt;10), G26, IF(AND(G26&lt;10, H26&gt;=10), G26, ""))))</f>
        <v>9</v>
      </c>
      <c r="K26" s="270">
        <f>IF(AND(J26&gt;=7, J27&gt;=7), ROUND(((F26*J26) + (F27*J27)) / (F26 + F27), 2), 0)</f>
        <v>11.73</v>
      </c>
      <c r="L26" s="270">
        <f>IF(K26&gt;9.99,(F26+F27),0)</f>
        <v>5</v>
      </c>
      <c r="M26" s="254" t="str">
        <f>IF(K26&gt;9.99,"Validé","Non validé")</f>
        <v>Validé</v>
      </c>
    </row>
    <row r="27" spans="2:13">
      <c r="B27" s="234"/>
      <c r="C27" s="243"/>
      <c r="D27" s="320"/>
      <c r="E27" s="118" t="s">
        <v>70</v>
      </c>
      <c r="F27" s="9">
        <v>3</v>
      </c>
      <c r="G27" s="108">
        <f>[1]BULL_N13!G27</f>
        <v>13.547999999999998</v>
      </c>
      <c r="H27" s="359"/>
      <c r="I27" s="358"/>
      <c r="J27" s="159">
        <f>IF(AND(G27&lt;10, H26&lt;10), 'SEMESTRE N°1'!J25, IF(AND(G27&gt;=10, H26&gt;=10), G27, IF(AND(G27&gt;=10, H26&lt;10), G27, IF(AND(G27&lt;10, H26&gt;=10), G27, ""))))</f>
        <v>13.547999999999998</v>
      </c>
      <c r="K27" s="271"/>
      <c r="L27" s="322"/>
      <c r="M27" s="255"/>
    </row>
    <row r="28" spans="2:13" ht="17.399999999999999" customHeight="1">
      <c r="B28" s="234"/>
      <c r="C28" s="284" t="s">
        <v>71</v>
      </c>
      <c r="D28" s="285"/>
      <c r="E28" s="284"/>
      <c r="F28" s="19">
        <f>F19+F20+F21+F22+F23+F24+F25+F26+F27</f>
        <v>30</v>
      </c>
      <c r="G28" s="109"/>
      <c r="H28" s="117">
        <f>ROUND((H19+H21+H24+H26)/4,2)</f>
        <v>2.93</v>
      </c>
      <c r="I28" s="110">
        <f>I26+I24+I21+I19</f>
        <v>5</v>
      </c>
      <c r="J28" s="91"/>
      <c r="K28" s="106">
        <f>ROUND((K19+K21+K24+K26)/4,2)</f>
        <v>2.93</v>
      </c>
      <c r="L28" s="107">
        <f>SUM(L19:L27)</f>
        <v>5</v>
      </c>
      <c r="M28" s="88"/>
    </row>
    <row r="29" spans="2:13" ht="10.5" customHeight="1">
      <c r="C29" s="11"/>
      <c r="G29" s="11"/>
    </row>
    <row r="30" spans="2:13" ht="16.5" customHeight="1">
      <c r="B30" s="360" t="s">
        <v>72</v>
      </c>
      <c r="C30" s="361"/>
      <c r="D30" s="21">
        <f>L26+L24+L21+L19</f>
        <v>5</v>
      </c>
      <c r="E30" s="12"/>
      <c r="F30" s="13"/>
      <c r="G30" s="14"/>
      <c r="H30" s="15"/>
      <c r="I30" s="15"/>
      <c r="J30" s="330" t="s">
        <v>73</v>
      </c>
      <c r="K30" s="330"/>
      <c r="L30" s="330"/>
      <c r="M30" s="330"/>
    </row>
    <row r="31" spans="2:13" ht="15.6">
      <c r="B31" s="360" t="s">
        <v>74</v>
      </c>
      <c r="C31" s="361"/>
      <c r="D31" s="22" t="str">
        <f>IF(D30=F28,"Semestre validé","Semestre non validé")</f>
        <v>Semestre non validé</v>
      </c>
      <c r="E31" s="13"/>
      <c r="F31" s="13"/>
      <c r="G31" s="16"/>
      <c r="H31" s="36"/>
      <c r="I31" s="36"/>
      <c r="J31" s="36"/>
      <c r="K31" s="36"/>
      <c r="L31" s="13"/>
    </row>
    <row r="32" spans="2:13">
      <c r="B32" s="360" t="s">
        <v>75</v>
      </c>
      <c r="C32" s="361"/>
      <c r="D32" s="1">
        <v>0</v>
      </c>
      <c r="E32" s="13"/>
      <c r="F32" s="13"/>
      <c r="G32" s="16"/>
      <c r="H32" s="13"/>
      <c r="I32" s="13"/>
      <c r="J32" s="13"/>
    </row>
    <row r="33" spans="2:13">
      <c r="B33" s="59"/>
      <c r="C33" s="59"/>
      <c r="D33" s="1"/>
      <c r="E33" s="13"/>
      <c r="F33" s="13"/>
      <c r="G33" s="16"/>
      <c r="H33" s="13"/>
      <c r="I33" s="13"/>
      <c r="J33" s="13"/>
    </row>
    <row r="34" spans="2:13">
      <c r="C34" s="16"/>
      <c r="D34" s="13"/>
      <c r="E34" s="13"/>
      <c r="F34" s="13"/>
      <c r="G34" s="16"/>
      <c r="H34" s="13"/>
      <c r="I34" s="13"/>
      <c r="J34" s="13"/>
    </row>
    <row r="35" spans="2:13" ht="18">
      <c r="C35" s="16"/>
      <c r="D35" s="13"/>
      <c r="E35" s="13"/>
      <c r="F35" s="13"/>
      <c r="G35" s="275" t="s">
        <v>76</v>
      </c>
      <c r="H35" s="275"/>
      <c r="I35" s="275"/>
      <c r="J35" s="275"/>
      <c r="K35" s="275"/>
      <c r="L35" s="275"/>
      <c r="M35" s="275"/>
    </row>
    <row r="36" spans="2:13" ht="15" customHeight="1">
      <c r="B36" s="308" t="s">
        <v>77</v>
      </c>
      <c r="C36" s="308"/>
      <c r="D36" s="308"/>
      <c r="E36" s="308"/>
      <c r="F36" s="308"/>
      <c r="G36" s="308"/>
      <c r="H36" s="308"/>
      <c r="I36" s="308"/>
      <c r="J36" s="308"/>
      <c r="K36" s="308"/>
      <c r="L36" s="308"/>
      <c r="M36" s="308"/>
    </row>
    <row r="37" spans="2:13">
      <c r="B37" s="308"/>
      <c r="C37" s="308"/>
      <c r="D37" s="308"/>
      <c r="E37" s="308"/>
      <c r="F37" s="308"/>
      <c r="G37" s="308"/>
      <c r="H37" s="308"/>
      <c r="I37" s="308"/>
      <c r="J37" s="308"/>
      <c r="K37" s="308"/>
      <c r="L37" s="308"/>
      <c r="M37" s="308"/>
    </row>
    <row r="39" spans="2:13" hidden="1">
      <c r="B39" s="18" t="s">
        <v>78</v>
      </c>
    </row>
  </sheetData>
  <mergeCells count="58">
    <mergeCell ref="B30:C30"/>
    <mergeCell ref="B31:C31"/>
    <mergeCell ref="B32:C32"/>
    <mergeCell ref="B36:M37"/>
    <mergeCell ref="G35:M35"/>
    <mergeCell ref="J30:M30"/>
    <mergeCell ref="H21:H23"/>
    <mergeCell ref="I21:I23"/>
    <mergeCell ref="K21:K23"/>
    <mergeCell ref="L26:L27"/>
    <mergeCell ref="C24:C25"/>
    <mergeCell ref="D24:D25"/>
    <mergeCell ref="K24:K25"/>
    <mergeCell ref="L24:L25"/>
    <mergeCell ref="C26:C27"/>
    <mergeCell ref="D26:D27"/>
    <mergeCell ref="H26:H27"/>
    <mergeCell ref="I26:I27"/>
    <mergeCell ref="K26:K27"/>
    <mergeCell ref="E15:F16"/>
    <mergeCell ref="G16:I16"/>
    <mergeCell ref="B17:B28"/>
    <mergeCell ref="C17:D18"/>
    <mergeCell ref="E17:E18"/>
    <mergeCell ref="F17:F18"/>
    <mergeCell ref="H17:I17"/>
    <mergeCell ref="H24:H25"/>
    <mergeCell ref="I24:I25"/>
    <mergeCell ref="C28:E28"/>
    <mergeCell ref="C19:C20"/>
    <mergeCell ref="D19:D20"/>
    <mergeCell ref="H19:H20"/>
    <mergeCell ref="I19:I20"/>
    <mergeCell ref="C21:C23"/>
    <mergeCell ref="D21:D23"/>
    <mergeCell ref="J16:L16"/>
    <mergeCell ref="M16:M18"/>
    <mergeCell ref="M19:M20"/>
    <mergeCell ref="M21:M23"/>
    <mergeCell ref="L19:L20"/>
    <mergeCell ref="L21:L23"/>
    <mergeCell ref="K19:K20"/>
    <mergeCell ref="E5:M8"/>
    <mergeCell ref="K17:L17"/>
    <mergeCell ref="M24:M25"/>
    <mergeCell ref="M26:M27"/>
    <mergeCell ref="G15:M15"/>
    <mergeCell ref="B9:M9"/>
    <mergeCell ref="C11:E11"/>
    <mergeCell ref="G11:L11"/>
    <mergeCell ref="B12:C12"/>
    <mergeCell ref="D12:E12"/>
    <mergeCell ref="G12:L12"/>
    <mergeCell ref="C13:E13"/>
    <mergeCell ref="G13:L13"/>
    <mergeCell ref="C14:E14"/>
    <mergeCell ref="G14:L14"/>
    <mergeCell ref="B15:D16"/>
  </mergeCells>
  <pageMargins left="0" right="0" top="0" bottom="0" header="0" footer="0"/>
  <pageSetup paperSize="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34E70-5D7F-48D8-9FD3-DB578577E965}">
  <sheetPr codeName="Feuil16">
    <tabColor rgb="FF7030A0"/>
  </sheetPr>
  <dimension ref="B5:M41"/>
  <sheetViews>
    <sheetView showGridLines="0" view="pageLayout" zoomScale="90" zoomScaleNormal="100" zoomScalePageLayoutView="90" workbookViewId="0">
      <selection activeCell="C13" sqref="C13:E13"/>
    </sheetView>
  </sheetViews>
  <sheetFormatPr baseColWidth="10" defaultColWidth="10.88671875" defaultRowHeight="14.4"/>
  <cols>
    <col min="1" max="1" width="4.6640625" style="5" customWidth="1"/>
    <col min="2" max="2" width="10.88671875" style="5"/>
    <col min="3" max="3" width="9.6640625" style="5" customWidth="1"/>
    <col min="4" max="4" width="15.5546875" style="5" customWidth="1"/>
    <col min="5" max="5" width="31.109375" style="5" customWidth="1"/>
    <col min="6" max="6" width="10.6640625" style="5" customWidth="1"/>
    <col min="7" max="8" width="7.6640625" style="5" customWidth="1"/>
    <col min="9" max="9" width="6.44140625" style="5" customWidth="1"/>
    <col min="10" max="12" width="8.6640625" style="5" customWidth="1"/>
    <col min="13" max="13" width="12.6640625" style="5" customWidth="1"/>
    <col min="14" max="14" width="4.6640625" style="5" customWidth="1"/>
    <col min="15" max="16384" width="10.88671875" style="5"/>
  </cols>
  <sheetData>
    <row r="5" spans="2:13">
      <c r="E5" s="288" t="s">
        <v>162</v>
      </c>
      <c r="F5" s="229"/>
      <c r="G5" s="229"/>
      <c r="H5" s="229"/>
      <c r="I5" s="229"/>
      <c r="J5" s="229"/>
      <c r="K5" s="229"/>
      <c r="L5" s="229"/>
      <c r="M5" s="229"/>
    </row>
    <row r="6" spans="2:13">
      <c r="E6" s="229"/>
      <c r="F6" s="229"/>
      <c r="G6" s="229"/>
      <c r="H6" s="229"/>
      <c r="I6" s="229"/>
      <c r="J6" s="229"/>
      <c r="K6" s="229"/>
      <c r="L6" s="229"/>
      <c r="M6" s="229"/>
    </row>
    <row r="7" spans="2:13">
      <c r="E7" s="229"/>
      <c r="F7" s="229"/>
      <c r="G7" s="229"/>
      <c r="H7" s="229"/>
      <c r="I7" s="229"/>
      <c r="J7" s="229"/>
      <c r="K7" s="229"/>
      <c r="L7" s="229"/>
      <c r="M7" s="229"/>
    </row>
    <row r="8" spans="2:13">
      <c r="E8" s="230"/>
      <c r="F8" s="230"/>
      <c r="G8" s="230"/>
      <c r="H8" s="230"/>
      <c r="I8" s="230"/>
      <c r="J8" s="230"/>
      <c r="K8" s="230"/>
      <c r="L8" s="230"/>
      <c r="M8" s="230"/>
    </row>
    <row r="9" spans="2:13" ht="18" customHeight="1">
      <c r="B9" s="316" t="s">
        <v>35</v>
      </c>
      <c r="C9" s="317"/>
      <c r="D9" s="317"/>
      <c r="E9" s="317"/>
      <c r="F9" s="317"/>
      <c r="G9" s="317"/>
      <c r="H9" s="317"/>
      <c r="I9" s="317"/>
      <c r="J9" s="317"/>
      <c r="K9" s="317"/>
      <c r="L9" s="317"/>
      <c r="M9" s="318"/>
    </row>
    <row r="10" spans="2:13" ht="14.25" customHeight="1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2:13" ht="15" customHeight="1">
      <c r="B11" s="6" t="s">
        <v>36</v>
      </c>
      <c r="C11" s="291" t="str">
        <f>'SEMESTRE N°1'!A24</f>
        <v>KENGUEL NZAKAMOU Thérésa Yolaine</v>
      </c>
      <c r="D11" s="292"/>
      <c r="E11" s="292"/>
      <c r="F11" s="6" t="s">
        <v>37</v>
      </c>
      <c r="G11" s="294" t="str">
        <f>B41</f>
        <v>Licence Pro. Informatique-1ère année Tronc commun</v>
      </c>
      <c r="H11" s="294"/>
      <c r="I11" s="294"/>
      <c r="J11" s="294"/>
      <c r="K11" s="294"/>
      <c r="L11" s="294"/>
    </row>
    <row r="12" spans="2:13" ht="15" customHeight="1">
      <c r="B12" s="246" t="s">
        <v>38</v>
      </c>
      <c r="C12" s="246"/>
      <c r="D12" s="295">
        <f>'SEMESTRE N°1'!B24</f>
        <v>38843</v>
      </c>
      <c r="E12" s="294"/>
      <c r="F12" s="6" t="s">
        <v>29</v>
      </c>
      <c r="G12" s="294" t="str">
        <f>'SEMESTRE N°1'!E24</f>
        <v>TC-1</v>
      </c>
      <c r="H12" s="294"/>
      <c r="I12" s="294"/>
      <c r="J12" s="294"/>
      <c r="K12" s="294"/>
      <c r="L12" s="294"/>
    </row>
    <row r="13" spans="2:13" ht="15" customHeight="1">
      <c r="B13" s="6" t="s">
        <v>39</v>
      </c>
      <c r="C13" s="291" t="str">
        <f>'SEMESTRE N°1'!C24</f>
        <v>Gabonaise</v>
      </c>
      <c r="D13" s="292"/>
      <c r="E13" s="292"/>
      <c r="F13" s="6" t="s">
        <v>40</v>
      </c>
      <c r="G13" s="249"/>
      <c r="H13" s="249"/>
      <c r="I13" s="249"/>
      <c r="J13" s="249"/>
      <c r="K13" s="249"/>
      <c r="L13" s="249"/>
    </row>
    <row r="14" spans="2:13" ht="15" customHeight="1">
      <c r="B14" s="6" t="s">
        <v>41</v>
      </c>
      <c r="C14" s="296" t="str">
        <f>'SEMESTRE N°1'!D24</f>
        <v>152024</v>
      </c>
      <c r="D14" s="297"/>
      <c r="E14" s="297"/>
      <c r="F14" s="6" t="s">
        <v>42</v>
      </c>
      <c r="G14" s="249"/>
      <c r="H14" s="249"/>
      <c r="I14" s="249"/>
      <c r="J14" s="249"/>
      <c r="K14" s="249"/>
      <c r="L14" s="249"/>
    </row>
    <row r="15" spans="2:13">
      <c r="B15" s="281" t="s">
        <v>43</v>
      </c>
      <c r="C15" s="281"/>
      <c r="D15" s="281"/>
      <c r="E15" s="282" t="s">
        <v>17</v>
      </c>
      <c r="F15" s="283"/>
      <c r="G15" s="342" t="s">
        <v>44</v>
      </c>
      <c r="H15" s="343"/>
      <c r="I15" s="343"/>
      <c r="J15" s="343"/>
      <c r="K15" s="343"/>
      <c r="L15" s="343"/>
      <c r="M15" s="344"/>
    </row>
    <row r="16" spans="2:13">
      <c r="B16" s="281"/>
      <c r="C16" s="281"/>
      <c r="D16" s="281"/>
      <c r="E16" s="282"/>
      <c r="F16" s="283"/>
      <c r="G16" s="240" t="s">
        <v>83</v>
      </c>
      <c r="H16" s="240"/>
      <c r="I16" s="240"/>
      <c r="J16" s="256" t="s">
        <v>46</v>
      </c>
      <c r="K16" s="257"/>
      <c r="L16" s="338"/>
      <c r="M16" s="339" t="s">
        <v>47</v>
      </c>
    </row>
    <row r="17" spans="2:13" ht="15" customHeight="1">
      <c r="B17" s="233" t="s">
        <v>48</v>
      </c>
      <c r="C17" s="273" t="s">
        <v>49</v>
      </c>
      <c r="D17" s="273"/>
      <c r="E17" s="272" t="s">
        <v>49</v>
      </c>
      <c r="F17" s="272" t="s">
        <v>50</v>
      </c>
      <c r="G17" s="2" t="s">
        <v>51</v>
      </c>
      <c r="H17" s="272" t="s">
        <v>52</v>
      </c>
      <c r="I17" s="272"/>
      <c r="J17" s="87" t="s">
        <v>51</v>
      </c>
      <c r="K17" s="262" t="s">
        <v>52</v>
      </c>
      <c r="L17" s="337"/>
      <c r="M17" s="340"/>
    </row>
    <row r="18" spans="2:13">
      <c r="B18" s="234"/>
      <c r="C18" s="272"/>
      <c r="D18" s="274"/>
      <c r="E18" s="272"/>
      <c r="F18" s="272"/>
      <c r="G18" s="60" t="s">
        <v>53</v>
      </c>
      <c r="H18" s="60" t="s">
        <v>53</v>
      </c>
      <c r="I18" s="60" t="s">
        <v>50</v>
      </c>
      <c r="J18" s="87" t="s">
        <v>53</v>
      </c>
      <c r="K18" s="87" t="s">
        <v>53</v>
      </c>
      <c r="L18" s="87" t="s">
        <v>50</v>
      </c>
      <c r="M18" s="341"/>
    </row>
    <row r="19" spans="2:13" ht="15" customHeight="1">
      <c r="B19" s="234"/>
      <c r="C19" s="243" t="s">
        <v>54</v>
      </c>
      <c r="D19" s="268" t="s">
        <v>55</v>
      </c>
      <c r="E19" s="118" t="s">
        <v>56</v>
      </c>
      <c r="F19" s="9">
        <v>3</v>
      </c>
      <c r="G19" s="108">
        <f>[1]BULL_N14!G19</f>
        <v>7.2000000000000011</v>
      </c>
      <c r="H19" s="358">
        <f>IF(AND(G19&gt;=7, G20&gt;=7), ROUND(((F19*G19) + (F20*G20)) / (F19 + F20), 2), 0)</f>
        <v>0</v>
      </c>
      <c r="I19" s="358">
        <f>IF(H19&gt;9.99,(F19+F20),0)</f>
        <v>0</v>
      </c>
      <c r="J19" s="165">
        <f>IF(AND(G19&lt;10, H19&lt;10), 'SEMESTRE N°1'!G24, IF(AND(G19&gt;=10, H19&gt;=10), G19, IF(AND(G19&gt;=10, H19&lt;10), G19, IF(AND(G19&lt;10, H19&gt;=10), G19, ""))))</f>
        <v>10</v>
      </c>
      <c r="K19" s="293">
        <f>IF(AND(J19&gt;=7, J20&gt;=7), ROUND(((F19*J19) + (F20*J20)) / (F19 + F20), 2), 0)</f>
        <v>12</v>
      </c>
      <c r="L19" s="293">
        <f>IF(K19&gt;9.99,(F19+F20),0)</f>
        <v>6</v>
      </c>
      <c r="M19" s="263" t="str">
        <f>IF(K19&gt;9.99,"Validé","Non validé")</f>
        <v>Validé</v>
      </c>
    </row>
    <row r="20" spans="2:13" ht="15" customHeight="1">
      <c r="B20" s="234"/>
      <c r="C20" s="243"/>
      <c r="D20" s="269"/>
      <c r="E20" s="118" t="s">
        <v>57</v>
      </c>
      <c r="F20" s="9">
        <v>3</v>
      </c>
      <c r="G20" s="108">
        <f>[1]BULL_N14!G20</f>
        <v>5.5</v>
      </c>
      <c r="H20" s="359"/>
      <c r="I20" s="358"/>
      <c r="J20" s="165">
        <f>IF(AND(G20&lt;10, H19&lt;10), 'SEMESTRE N°1'!J24, IF(AND(G20&gt;=10, H19&gt;=10), G20, IF(AND(G20&gt;=10, H19&lt;10), G20, IF(AND(G20&lt;10, H19&gt;=10), G20, ""))))</f>
        <v>14</v>
      </c>
      <c r="K20" s="293"/>
      <c r="L20" s="293"/>
      <c r="M20" s="263"/>
    </row>
    <row r="21" spans="2:13" ht="15" customHeight="1">
      <c r="B21" s="234"/>
      <c r="C21" s="243" t="s">
        <v>58</v>
      </c>
      <c r="D21" s="268" t="s">
        <v>59</v>
      </c>
      <c r="E21" s="118" t="s">
        <v>169</v>
      </c>
      <c r="F21" s="9">
        <v>5</v>
      </c>
      <c r="G21" s="108">
        <f>[1]BULL_N14!G21</f>
        <v>7.2000000000000011</v>
      </c>
      <c r="H21" s="358">
        <f>IF(AND(G21&gt;=7, G22&gt;=7, G23&gt;=7), ROUND(((F21*G21) + (F22*G22)+ (F23*G23)) / (F21 + F22+F23), 2), 0)</f>
        <v>0</v>
      </c>
      <c r="I21" s="358">
        <f>IF(H21&gt;9.99,(F21+F22+F23),0)</f>
        <v>0</v>
      </c>
      <c r="J21" s="165">
        <f>IF(AND(G21&lt;10, H21&lt;10), 'SEMESTRE N°1'!M24, IF(AND(G21&gt;=10, H21&gt;=10), G21, IF(AND(G21&gt;=10, H21&lt;10), G21, IF(AND(G21&lt;10, H21&gt;=10), G21, ""))))</f>
        <v>13</v>
      </c>
      <c r="K21" s="326">
        <f>IF(AND(J21&gt;=7, J22&gt;=7, J23&gt;=7), ROUND(((F21*J21) + (F22*J22)+ (F23*J23)) / (F21 + F22+F23), 2), 0)</f>
        <v>0</v>
      </c>
      <c r="L21" s="323">
        <f>IF(K21&gt;9.99,(F21+F22+F23),0)</f>
        <v>0</v>
      </c>
      <c r="M21" s="251" t="str">
        <f>IF(K21&gt;9.99,"Validé","Non validé")</f>
        <v>Non validé</v>
      </c>
    </row>
    <row r="22" spans="2:13" ht="15" customHeight="1">
      <c r="B22" s="234"/>
      <c r="C22" s="243"/>
      <c r="D22" s="279"/>
      <c r="E22" s="118" t="s">
        <v>61</v>
      </c>
      <c r="F22" s="9">
        <v>3</v>
      </c>
      <c r="G22" s="108">
        <f>[1]BULL_N14!G22</f>
        <v>6.4399999999999995</v>
      </c>
      <c r="H22" s="359"/>
      <c r="I22" s="358"/>
      <c r="J22" s="165">
        <f>G22</f>
        <v>6.4399999999999995</v>
      </c>
      <c r="K22" s="326"/>
      <c r="L22" s="324"/>
      <c r="M22" s="252"/>
    </row>
    <row r="23" spans="2:13">
      <c r="B23" s="234"/>
      <c r="C23" s="243"/>
      <c r="D23" s="269"/>
      <c r="E23" s="118" t="s">
        <v>62</v>
      </c>
      <c r="F23" s="9">
        <v>3</v>
      </c>
      <c r="G23" s="108">
        <f>[1]BULL_N14!G23</f>
        <v>1.4480000000000002</v>
      </c>
      <c r="H23" s="359"/>
      <c r="I23" s="358"/>
      <c r="J23" s="165">
        <f>G23</f>
        <v>1.4480000000000002</v>
      </c>
      <c r="K23" s="326"/>
      <c r="L23" s="325"/>
      <c r="M23" s="253"/>
    </row>
    <row r="24" spans="2:13" ht="15" customHeight="1">
      <c r="B24" s="234"/>
      <c r="C24" s="243" t="s">
        <v>63</v>
      </c>
      <c r="D24" s="268" t="s">
        <v>64</v>
      </c>
      <c r="E24" s="118" t="s">
        <v>65</v>
      </c>
      <c r="F24" s="9">
        <v>4</v>
      </c>
      <c r="G24" s="108">
        <f>[1]BULL_N14!G24</f>
        <v>4.7</v>
      </c>
      <c r="H24" s="358">
        <f>IF(AND(G24&gt;=7, G25&gt;=7), ROUND(((F24*G24) + (F25*G25)) / (F24 + F25), 2), 0)</f>
        <v>0</v>
      </c>
      <c r="I24" s="358">
        <f>IF(H24&gt;9.99,(F24+F25),0)</f>
        <v>0</v>
      </c>
      <c r="J24" s="165">
        <f>IF(AND(G24&lt;10, H24&lt;10), 'SEMESTRE N°1'!V24, IF(AND(G24&gt;=10, H24&gt;=10), G24, IF(AND(G24&gt;=10, H24&lt;10), G24, IF(AND(G24&lt;10, H24&gt;=10), G24, ""))))</f>
        <v>15</v>
      </c>
      <c r="K24" s="348">
        <f>IF(AND(J24&gt;=7, J25&gt;=7), ROUND(((F24*J24) + (F25*J25)) / (F24 + F25), 2), 0)</f>
        <v>13.5</v>
      </c>
      <c r="L24" s="348">
        <f>IF(K24&gt;9.99,(F24+F25),0)</f>
        <v>8</v>
      </c>
      <c r="M24" s="254" t="str">
        <f>IF(K24&gt;9.99,"Validé","Non validé")</f>
        <v>Validé</v>
      </c>
    </row>
    <row r="25" spans="2:13" ht="15" customHeight="1">
      <c r="B25" s="234"/>
      <c r="C25" s="243"/>
      <c r="D25" s="269"/>
      <c r="E25" s="118" t="s">
        <v>66</v>
      </c>
      <c r="F25" s="9">
        <v>4</v>
      </c>
      <c r="G25" s="108">
        <f>[1]BULL_N14!G25</f>
        <v>6.3640000000000008</v>
      </c>
      <c r="H25" s="359"/>
      <c r="I25" s="358"/>
      <c r="J25" s="165">
        <f>IF(AND(G25&lt;10, H24&lt;10), 'SEMESTRE N°1'!Y24, IF(AND(G25&gt;=10, H24&gt;=10), G25, IF(AND(G25&gt;=10, H24&lt;10), G25, IF(AND(G25&lt;10, H24&gt;=10), G25, ""))))</f>
        <v>12</v>
      </c>
      <c r="K25" s="349"/>
      <c r="L25" s="349"/>
      <c r="M25" s="255"/>
    </row>
    <row r="26" spans="2:13" ht="15" customHeight="1">
      <c r="B26" s="234"/>
      <c r="C26" s="243" t="s">
        <v>67</v>
      </c>
      <c r="D26" s="319" t="s">
        <v>68</v>
      </c>
      <c r="E26" s="118" t="s">
        <v>69</v>
      </c>
      <c r="F26" s="9">
        <v>2</v>
      </c>
      <c r="G26" s="108">
        <f>[1]BULL_N14!G26</f>
        <v>12.2</v>
      </c>
      <c r="H26" s="358">
        <f>IF(AND(G26&gt;=7, G27&gt;=7), ROUND(((F26*G26) + (F27*G27)) / (F26 + F27), 2), 0)</f>
        <v>11.84</v>
      </c>
      <c r="I26" s="358">
        <f>IF(H26&gt;9.99,(F26+F27),0)</f>
        <v>5</v>
      </c>
      <c r="J26" s="159">
        <f>IF(AND(G26&lt;10, H26&lt;10), 'SEMESTRE N°1'!AB24, IF(AND(G26&gt;=10, H26&gt;=10), G26, IF(AND(G26&gt;=10, H26&lt;10), G26, IF(AND(G26&lt;10, H26&gt;=10), G26, ""))))</f>
        <v>12.2</v>
      </c>
      <c r="K26" s="270">
        <f>IF(AND(J26&gt;=7, J27&gt;=7), ROUND(((F26*J26) + (F27*J27)) / (F26 + F27), 2), 0)</f>
        <v>11.84</v>
      </c>
      <c r="L26" s="270">
        <f>IF(K26&gt;9.99,(F26+F27),0)</f>
        <v>5</v>
      </c>
      <c r="M26" s="254" t="str">
        <f>IF(K26&gt;9.99,"Validé","Non validé")</f>
        <v>Validé</v>
      </c>
    </row>
    <row r="27" spans="2:13">
      <c r="B27" s="234"/>
      <c r="C27" s="243"/>
      <c r="D27" s="320"/>
      <c r="E27" s="118" t="s">
        <v>70</v>
      </c>
      <c r="F27" s="9">
        <v>3</v>
      </c>
      <c r="G27" s="108">
        <f>[1]BULL_N14!G27</f>
        <v>11.597999999999999</v>
      </c>
      <c r="H27" s="359"/>
      <c r="I27" s="358"/>
      <c r="J27" s="159">
        <f>IF(AND(G27&lt;10, H26&lt;10), 'SEMESTRE N°1'!J24, IF(AND(G27&gt;=10, H26&gt;=10), G27, IF(AND(G27&gt;=10, H26&lt;10), G27, IF(AND(G27&lt;10, H26&gt;=10), G27, ""))))</f>
        <v>11.597999999999999</v>
      </c>
      <c r="K27" s="271"/>
      <c r="L27" s="322"/>
      <c r="M27" s="255"/>
    </row>
    <row r="28" spans="2:13" ht="18.600000000000001" customHeight="1">
      <c r="B28" s="234"/>
      <c r="C28" s="284" t="s">
        <v>71</v>
      </c>
      <c r="D28" s="285"/>
      <c r="E28" s="284"/>
      <c r="F28" s="19">
        <f>F19+F20+F21+F22+F23+F24+F25+F26+F27</f>
        <v>30</v>
      </c>
      <c r="G28" s="109"/>
      <c r="H28" s="117">
        <f>ROUND((H19+H21+H24+H26)/4,2)</f>
        <v>2.96</v>
      </c>
      <c r="I28" s="110">
        <f>I26+I24+I21+I19</f>
        <v>5</v>
      </c>
      <c r="J28" s="91"/>
      <c r="K28" s="111">
        <f>ROUND((K19+K21+K24+K26)/4,2)</f>
        <v>9.34</v>
      </c>
      <c r="L28" s="107">
        <f>SUM(L19:L27)</f>
        <v>19</v>
      </c>
      <c r="M28" s="88"/>
    </row>
    <row r="29" spans="2:13" ht="12" customHeight="1">
      <c r="C29" s="11"/>
      <c r="G29" s="11"/>
    </row>
    <row r="30" spans="2:13" ht="15.9" customHeight="1">
      <c r="B30" s="360" t="s">
        <v>72</v>
      </c>
      <c r="C30" s="361"/>
      <c r="D30" s="21">
        <f>SUM(L19:L27)</f>
        <v>19</v>
      </c>
      <c r="E30" s="12"/>
      <c r="F30" s="13"/>
      <c r="G30" s="14"/>
      <c r="H30" s="15"/>
      <c r="I30" s="15"/>
      <c r="J30" s="330" t="s">
        <v>73</v>
      </c>
      <c r="K30" s="330"/>
      <c r="L30" s="330"/>
      <c r="M30" s="330"/>
    </row>
    <row r="31" spans="2:13" ht="15.6">
      <c r="B31" s="360" t="s">
        <v>74</v>
      </c>
      <c r="C31" s="361"/>
      <c r="D31" s="22" t="str">
        <f>IF(D30=F28,"Semestre validé","Semestre non validé")</f>
        <v>Semestre non validé</v>
      </c>
      <c r="E31" s="13"/>
      <c r="F31" s="13"/>
      <c r="G31" s="16"/>
      <c r="H31" s="36"/>
      <c r="I31" s="36"/>
      <c r="J31" s="36"/>
      <c r="K31" s="36"/>
      <c r="L31" s="13"/>
    </row>
    <row r="32" spans="2:13">
      <c r="B32" s="360" t="s">
        <v>75</v>
      </c>
      <c r="C32" s="361"/>
      <c r="D32" s="1">
        <v>0</v>
      </c>
      <c r="E32" s="13"/>
      <c r="F32" s="13"/>
      <c r="G32" s="16"/>
      <c r="H32" s="13"/>
      <c r="I32" s="13"/>
      <c r="J32" s="13"/>
    </row>
    <row r="33" spans="2:13">
      <c r="B33" s="59"/>
      <c r="C33" s="59"/>
      <c r="D33" s="1"/>
      <c r="E33" s="13"/>
      <c r="F33" s="13"/>
      <c r="G33" s="16"/>
      <c r="H33" s="13"/>
      <c r="I33" s="13"/>
      <c r="J33" s="13"/>
    </row>
    <row r="34" spans="2:13">
      <c r="B34" s="59"/>
      <c r="C34" s="59"/>
      <c r="D34" s="1"/>
      <c r="E34" s="13"/>
      <c r="F34" s="13"/>
      <c r="G34" s="16"/>
      <c r="H34" s="13"/>
      <c r="I34" s="13"/>
      <c r="J34" s="13"/>
    </row>
    <row r="35" spans="2:13">
      <c r="B35" s="59"/>
      <c r="C35" s="59"/>
      <c r="D35" s="1"/>
      <c r="E35" s="13"/>
      <c r="F35" s="13"/>
      <c r="G35" s="16"/>
      <c r="H35" s="13"/>
      <c r="I35" s="13"/>
      <c r="J35" s="13"/>
    </row>
    <row r="36" spans="2:13" ht="17.399999999999999" customHeight="1">
      <c r="B36" s="123"/>
      <c r="C36" s="124"/>
      <c r="D36" s="125"/>
      <c r="E36" s="125"/>
      <c r="F36" s="125"/>
      <c r="G36" s="123"/>
      <c r="H36" s="123"/>
      <c r="I36" s="123"/>
      <c r="J36" s="123"/>
      <c r="K36" s="123"/>
      <c r="L36" s="123"/>
      <c r="M36" s="123"/>
    </row>
    <row r="37" spans="2:13" ht="15.6" customHeight="1">
      <c r="B37" s="123"/>
      <c r="C37" s="124"/>
      <c r="D37" s="125"/>
      <c r="E37" s="125"/>
      <c r="F37" s="125"/>
      <c r="G37" s="275" t="s">
        <v>76</v>
      </c>
      <c r="H37" s="275"/>
      <c r="I37" s="275"/>
      <c r="J37" s="275"/>
      <c r="K37" s="275"/>
      <c r="L37" s="275"/>
      <c r="M37" s="275"/>
    </row>
    <row r="38" spans="2:13" ht="15" customHeight="1">
      <c r="B38" s="308" t="s">
        <v>77</v>
      </c>
      <c r="C38" s="308"/>
      <c r="D38" s="308"/>
      <c r="E38" s="308"/>
      <c r="F38" s="308"/>
      <c r="G38" s="308"/>
      <c r="H38" s="308"/>
      <c r="I38" s="308"/>
      <c r="J38" s="308"/>
      <c r="K38" s="308"/>
      <c r="L38" s="308"/>
      <c r="M38" s="308"/>
    </row>
    <row r="39" spans="2:13">
      <c r="B39" s="308"/>
      <c r="C39" s="308"/>
      <c r="D39" s="308"/>
      <c r="E39" s="308"/>
      <c r="F39" s="308"/>
      <c r="G39" s="308"/>
      <c r="H39" s="308"/>
      <c r="I39" s="308"/>
      <c r="J39" s="308"/>
      <c r="K39" s="308"/>
      <c r="L39" s="308"/>
      <c r="M39" s="308"/>
    </row>
    <row r="41" spans="2:13" hidden="1">
      <c r="B41" s="18" t="s">
        <v>78</v>
      </c>
    </row>
  </sheetData>
  <mergeCells count="58">
    <mergeCell ref="D26:D27"/>
    <mergeCell ref="H26:H27"/>
    <mergeCell ref="I26:I27"/>
    <mergeCell ref="K26:K27"/>
    <mergeCell ref="B38:M39"/>
    <mergeCell ref="B30:C30"/>
    <mergeCell ref="B31:C31"/>
    <mergeCell ref="B32:C32"/>
    <mergeCell ref="G37:M37"/>
    <mergeCell ref="J30:M30"/>
    <mergeCell ref="C17:D18"/>
    <mergeCell ref="E17:E18"/>
    <mergeCell ref="F17:F18"/>
    <mergeCell ref="H17:I17"/>
    <mergeCell ref="C28:E28"/>
    <mergeCell ref="C19:C20"/>
    <mergeCell ref="D19:D20"/>
    <mergeCell ref="H19:H20"/>
    <mergeCell ref="I19:I20"/>
    <mergeCell ref="C21:C23"/>
    <mergeCell ref="D21:D23"/>
    <mergeCell ref="H21:H23"/>
    <mergeCell ref="I21:I23"/>
    <mergeCell ref="C24:C25"/>
    <mergeCell ref="D24:D25"/>
    <mergeCell ref="C26:C27"/>
    <mergeCell ref="J16:L16"/>
    <mergeCell ref="M16:M18"/>
    <mergeCell ref="M19:M20"/>
    <mergeCell ref="M21:M23"/>
    <mergeCell ref="C11:E11"/>
    <mergeCell ref="G11:L11"/>
    <mergeCell ref="B12:C12"/>
    <mergeCell ref="D12:E12"/>
    <mergeCell ref="G12:L12"/>
    <mergeCell ref="C13:E13"/>
    <mergeCell ref="G13:L13"/>
    <mergeCell ref="C14:E14"/>
    <mergeCell ref="G14:L14"/>
    <mergeCell ref="B15:D16"/>
    <mergeCell ref="K17:L17"/>
    <mergeCell ref="B17:B28"/>
    <mergeCell ref="E5:M8"/>
    <mergeCell ref="M24:M25"/>
    <mergeCell ref="M26:M27"/>
    <mergeCell ref="G15:M15"/>
    <mergeCell ref="E15:F16"/>
    <mergeCell ref="G16:I16"/>
    <mergeCell ref="L19:L20"/>
    <mergeCell ref="L21:L23"/>
    <mergeCell ref="K19:K20"/>
    <mergeCell ref="K21:K23"/>
    <mergeCell ref="L26:L27"/>
    <mergeCell ref="H24:H25"/>
    <mergeCell ref="I24:I25"/>
    <mergeCell ref="K24:K25"/>
    <mergeCell ref="L24:L25"/>
    <mergeCell ref="B9:M9"/>
  </mergeCells>
  <pageMargins left="0" right="0" top="0" bottom="0" header="0" footer="0"/>
  <pageSetup paperSize="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0626D-32C7-4C8C-B751-4EDAF5E8EEA0}">
  <sheetPr codeName="Feuil17">
    <tabColor rgb="FF7030A0"/>
  </sheetPr>
  <dimension ref="B5:M40"/>
  <sheetViews>
    <sheetView showGridLines="0" view="pageLayout" zoomScale="95" zoomScaleNormal="100" zoomScalePageLayoutView="95" workbookViewId="0">
      <selection activeCell="C11" sqref="C11:E11"/>
    </sheetView>
  </sheetViews>
  <sheetFormatPr baseColWidth="10" defaultColWidth="10.88671875" defaultRowHeight="14.4"/>
  <cols>
    <col min="1" max="1" width="4.6640625" style="5" customWidth="1"/>
    <col min="2" max="2" width="10.88671875" style="5"/>
    <col min="3" max="3" width="10.33203125" style="5" customWidth="1"/>
    <col min="4" max="4" width="15.109375" style="5" customWidth="1"/>
    <col min="5" max="5" width="31.109375" style="5" customWidth="1"/>
    <col min="6" max="6" width="10.6640625" style="5" customWidth="1"/>
    <col min="7" max="7" width="7.6640625" style="5" customWidth="1"/>
    <col min="8" max="8" width="6.6640625" style="5" customWidth="1"/>
    <col min="9" max="9" width="6.5546875" style="5" customWidth="1"/>
    <col min="10" max="12" width="8.6640625" style="5" customWidth="1"/>
    <col min="13" max="13" width="12.6640625" style="5" customWidth="1"/>
    <col min="14" max="14" width="4.6640625" style="5" customWidth="1"/>
    <col min="15" max="16384" width="10.88671875" style="5"/>
  </cols>
  <sheetData>
    <row r="5" spans="2:13">
      <c r="E5" s="288" t="s">
        <v>162</v>
      </c>
      <c r="F5" s="229"/>
      <c r="G5" s="229"/>
      <c r="H5" s="229"/>
      <c r="I5" s="229"/>
      <c r="J5" s="229"/>
      <c r="K5" s="229"/>
      <c r="L5" s="229"/>
      <c r="M5" s="229"/>
    </row>
    <row r="6" spans="2:13">
      <c r="E6" s="229"/>
      <c r="F6" s="229"/>
      <c r="G6" s="229"/>
      <c r="H6" s="229"/>
      <c r="I6" s="229"/>
      <c r="J6" s="229"/>
      <c r="K6" s="229"/>
      <c r="L6" s="229"/>
      <c r="M6" s="229"/>
    </row>
    <row r="7" spans="2:13">
      <c r="E7" s="229"/>
      <c r="F7" s="229"/>
      <c r="G7" s="229"/>
      <c r="H7" s="229"/>
      <c r="I7" s="229"/>
      <c r="J7" s="229"/>
      <c r="K7" s="229"/>
      <c r="L7" s="229"/>
      <c r="M7" s="229"/>
    </row>
    <row r="8" spans="2:13">
      <c r="E8" s="230"/>
      <c r="F8" s="230"/>
      <c r="G8" s="230"/>
      <c r="H8" s="230"/>
      <c r="I8" s="230"/>
      <c r="J8" s="230"/>
      <c r="K8" s="230"/>
      <c r="L8" s="230"/>
      <c r="M8" s="230"/>
    </row>
    <row r="9" spans="2:13" ht="18" customHeight="1">
      <c r="B9" s="316" t="s">
        <v>35</v>
      </c>
      <c r="C9" s="317"/>
      <c r="D9" s="317"/>
      <c r="E9" s="317"/>
      <c r="F9" s="317"/>
      <c r="G9" s="317"/>
      <c r="H9" s="317"/>
      <c r="I9" s="317"/>
      <c r="J9" s="317"/>
      <c r="K9" s="317"/>
      <c r="L9" s="317"/>
      <c r="M9" s="318"/>
    </row>
    <row r="10" spans="2:13" ht="15" customHeight="1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2:13">
      <c r="B11" s="6" t="s">
        <v>36</v>
      </c>
      <c r="C11" s="291" t="str">
        <f>'SEMESTRE N°1'!A25</f>
        <v>M'BONGO KONARE BIGNOUMBA Ismael</v>
      </c>
      <c r="D11" s="291"/>
      <c r="E11" s="291"/>
      <c r="F11" s="6" t="s">
        <v>37</v>
      </c>
      <c r="G11" s="297" t="str">
        <f>B40</f>
        <v>Licence Pro. Informatique-1ère année Tronc commun</v>
      </c>
      <c r="H11" s="297"/>
      <c r="I11" s="297"/>
      <c r="J11" s="297"/>
      <c r="K11" s="297"/>
      <c r="L11" s="297"/>
    </row>
    <row r="12" spans="2:13" ht="14.4" customHeight="1">
      <c r="B12" s="246" t="s">
        <v>38</v>
      </c>
      <c r="C12" s="246"/>
      <c r="D12" s="295">
        <f>'SEMESTRE N°1'!B25</f>
        <v>38524</v>
      </c>
      <c r="E12" s="294"/>
      <c r="F12" s="6" t="s">
        <v>29</v>
      </c>
      <c r="G12" s="294" t="str">
        <f>'SEMESTRE N°1'!E25</f>
        <v>TC-1</v>
      </c>
      <c r="H12" s="294"/>
      <c r="I12" s="294"/>
      <c r="J12" s="294"/>
      <c r="K12" s="294"/>
      <c r="L12" s="294"/>
    </row>
    <row r="13" spans="2:13">
      <c r="B13" s="6" t="s">
        <v>39</v>
      </c>
      <c r="C13" s="291" t="str">
        <f>'SEMESTRE N°1'!C25</f>
        <v>Gabonaise</v>
      </c>
      <c r="D13" s="291"/>
      <c r="E13" s="291"/>
      <c r="F13" s="6" t="s">
        <v>40</v>
      </c>
      <c r="G13" s="249"/>
      <c r="H13" s="249"/>
      <c r="I13" s="249"/>
      <c r="J13" s="249"/>
      <c r="K13" s="249"/>
      <c r="L13" s="249"/>
    </row>
    <row r="14" spans="2:13">
      <c r="B14" s="6" t="s">
        <v>41</v>
      </c>
      <c r="C14" s="296" t="str">
        <f>'SEMESTRE N°1'!D25</f>
        <v>162024</v>
      </c>
      <c r="D14" s="296"/>
      <c r="E14" s="362"/>
      <c r="F14" s="6" t="s">
        <v>42</v>
      </c>
      <c r="G14" s="249"/>
      <c r="H14" s="249"/>
      <c r="I14" s="249"/>
      <c r="J14" s="249"/>
      <c r="K14" s="249"/>
      <c r="L14" s="249"/>
    </row>
    <row r="15" spans="2:13">
      <c r="B15" s="281" t="s">
        <v>43</v>
      </c>
      <c r="C15" s="281"/>
      <c r="D15" s="281"/>
      <c r="E15" s="282" t="s">
        <v>17</v>
      </c>
      <c r="F15" s="283"/>
      <c r="G15" s="342" t="s">
        <v>44</v>
      </c>
      <c r="H15" s="343"/>
      <c r="I15" s="343"/>
      <c r="J15" s="343"/>
      <c r="K15" s="343"/>
      <c r="L15" s="343"/>
      <c r="M15" s="344"/>
    </row>
    <row r="16" spans="2:13">
      <c r="B16" s="281"/>
      <c r="C16" s="281"/>
      <c r="D16" s="281"/>
      <c r="E16" s="282"/>
      <c r="F16" s="283"/>
      <c r="G16" s="240" t="s">
        <v>83</v>
      </c>
      <c r="H16" s="240"/>
      <c r="I16" s="240"/>
      <c r="J16" s="256" t="s">
        <v>46</v>
      </c>
      <c r="K16" s="257"/>
      <c r="L16" s="338"/>
      <c r="M16" s="339" t="s">
        <v>47</v>
      </c>
    </row>
    <row r="17" spans="2:13">
      <c r="B17" s="233" t="s">
        <v>48</v>
      </c>
      <c r="C17" s="273" t="s">
        <v>49</v>
      </c>
      <c r="D17" s="273"/>
      <c r="E17" s="272" t="s">
        <v>49</v>
      </c>
      <c r="F17" s="272" t="s">
        <v>50</v>
      </c>
      <c r="G17" s="2" t="s">
        <v>51</v>
      </c>
      <c r="H17" s="272" t="s">
        <v>52</v>
      </c>
      <c r="I17" s="272"/>
      <c r="J17" s="87" t="s">
        <v>51</v>
      </c>
      <c r="K17" s="262" t="s">
        <v>52</v>
      </c>
      <c r="L17" s="337"/>
      <c r="M17" s="340"/>
    </row>
    <row r="18" spans="2:13">
      <c r="B18" s="234"/>
      <c r="C18" s="272"/>
      <c r="D18" s="274"/>
      <c r="E18" s="272"/>
      <c r="F18" s="272"/>
      <c r="G18" s="60" t="s">
        <v>53</v>
      </c>
      <c r="H18" s="60" t="s">
        <v>53</v>
      </c>
      <c r="I18" s="60" t="s">
        <v>50</v>
      </c>
      <c r="J18" s="87" t="s">
        <v>53</v>
      </c>
      <c r="K18" s="87" t="s">
        <v>53</v>
      </c>
      <c r="L18" s="87" t="s">
        <v>50</v>
      </c>
      <c r="M18" s="341"/>
    </row>
    <row r="19" spans="2:13" ht="15" customHeight="1">
      <c r="B19" s="234"/>
      <c r="C19" s="363" t="s">
        <v>54</v>
      </c>
      <c r="D19" s="364" t="s">
        <v>55</v>
      </c>
      <c r="E19" s="120" t="s">
        <v>56</v>
      </c>
      <c r="F19" s="9">
        <v>3</v>
      </c>
      <c r="G19" s="108">
        <f>[1]BULL_N15!G19</f>
        <v>12.6</v>
      </c>
      <c r="H19" s="358">
        <f>IF(AND(G19&gt;=7, G20&gt;=7), ROUND(((F19*G19) + (F20*G20)) / (F19 + F20), 2), 0)</f>
        <v>10.53</v>
      </c>
      <c r="I19" s="358">
        <f>IF(H19&gt;9.99,(F19+F20),0)</f>
        <v>6</v>
      </c>
      <c r="J19" s="159">
        <f>IF(AND(G19&lt;10, H19&lt;10), 'SEMESTRE N°1'!G25, IF(AND(G19&gt;=10, H19&gt;=10), G19, IF(AND(G19&gt;=10, H19&lt;10), G19, IF(AND(G19&lt;10, H19&gt;=10), G19, ""))))</f>
        <v>12.6</v>
      </c>
      <c r="K19" s="322">
        <f>IF(AND(J19&gt;=7, J20&gt;=7), ROUND(((F19*J19) + (F20*J20)) / (F19 + F20), 2), 0)</f>
        <v>10.53</v>
      </c>
      <c r="L19" s="322">
        <f>IF(K19&gt;9.99,(F19+F20),0)</f>
        <v>6</v>
      </c>
      <c r="M19" s="263" t="str">
        <f>IF(K19&gt;9.99,"Validé","Non validé")</f>
        <v>Validé</v>
      </c>
    </row>
    <row r="20" spans="2:13" ht="15" customHeight="1">
      <c r="B20" s="234"/>
      <c r="C20" s="363"/>
      <c r="D20" s="365"/>
      <c r="E20" s="120" t="s">
        <v>57</v>
      </c>
      <c r="F20" s="9">
        <v>3</v>
      </c>
      <c r="G20" s="108">
        <f>[1]BULL_N15!G20</f>
        <v>8.4500000000000011</v>
      </c>
      <c r="H20" s="359"/>
      <c r="I20" s="358"/>
      <c r="J20" s="159">
        <f>IF(AND(G20&lt;10, H19&lt;10), 'SEMESTRE N°1'!J25, IF(AND(G20&gt;=10, H19&gt;=10), G20, IF(AND(G20&gt;=10, H19&lt;10), G20, IF(AND(G20&lt;10, H19&gt;=10), G20, ""))))</f>
        <v>8.4500000000000011</v>
      </c>
      <c r="K20" s="322"/>
      <c r="L20" s="322"/>
      <c r="M20" s="263"/>
    </row>
    <row r="21" spans="2:13" ht="15" customHeight="1">
      <c r="B21" s="234"/>
      <c r="C21" s="363" t="s">
        <v>58</v>
      </c>
      <c r="D21" s="364" t="s">
        <v>59</v>
      </c>
      <c r="E21" s="120" t="s">
        <v>169</v>
      </c>
      <c r="F21" s="9">
        <v>5</v>
      </c>
      <c r="G21" s="108">
        <f>[1]BULL_N15!G21</f>
        <v>10.399999999999999</v>
      </c>
      <c r="H21" s="358">
        <f>IF(AND(G21&gt;=7, G22&gt;=7, G23&gt;=7), ROUND(((F21*G21) + (F22*G22)+ (F23*G23)) / (F21 + F22+F23), 2), 0)</f>
        <v>0</v>
      </c>
      <c r="I21" s="358">
        <f>IF(H21&gt;9.99,(F21+F22+F23),0)</f>
        <v>0</v>
      </c>
      <c r="J21" s="159">
        <f>IF(AND(G21&lt;10, H21&lt;10), 'SEMESTRE N°1'!M25, IF(AND(G21&gt;=10, H21&gt;=10), G21, IF(AND(G21&gt;=10, H21&lt;10), G21, IF(AND(G21&lt;10, H21&gt;=10), G21, ""))))</f>
        <v>10.399999999999999</v>
      </c>
      <c r="K21" s="326">
        <f>IF(AND(J21&gt;=7, J22&gt;=7, J23&gt;=7), ROUND(((F21*J21) + (F22*J22)+ (F23*J23)) / (F21 + F22+F23), 2), 0)</f>
        <v>10.85</v>
      </c>
      <c r="L21" s="323">
        <f>IF(K21&gt;9.99,(F21+F22+F23),0)</f>
        <v>11</v>
      </c>
      <c r="M21" s="251" t="str">
        <f>IF(K21&gt;9.99,"Validé","Non validé")</f>
        <v>Validé</v>
      </c>
    </row>
    <row r="22" spans="2:13" ht="15" customHeight="1">
      <c r="B22" s="234"/>
      <c r="C22" s="363"/>
      <c r="D22" s="366"/>
      <c r="E22" s="120" t="s">
        <v>61</v>
      </c>
      <c r="F22" s="9">
        <v>3</v>
      </c>
      <c r="G22" s="108">
        <f>[1]BULL_N15!G22</f>
        <v>15.440000000000001</v>
      </c>
      <c r="H22" s="359"/>
      <c r="I22" s="358"/>
      <c r="J22" s="159">
        <f>IF(AND(G22&lt;10, H21&lt;10), 'SEMESTRE N°1'!P25, IF(AND(G22&gt;=10, H21&gt;=10), G22, IF(AND(G22&gt;=10, H21&lt;10), G22, IF(AND(G22&lt;10, H21&gt;=10), G22, ""))))</f>
        <v>15.440000000000001</v>
      </c>
      <c r="K22" s="326"/>
      <c r="L22" s="324"/>
      <c r="M22" s="252"/>
    </row>
    <row r="23" spans="2:13" ht="15" customHeight="1">
      <c r="B23" s="234"/>
      <c r="C23" s="363"/>
      <c r="D23" s="367"/>
      <c r="E23" s="120" t="s">
        <v>62</v>
      </c>
      <c r="F23" s="9">
        <v>3</v>
      </c>
      <c r="G23" s="108">
        <f>[1]BULL_N15!G23</f>
        <v>6.6</v>
      </c>
      <c r="H23" s="359"/>
      <c r="I23" s="358"/>
      <c r="J23" s="165">
        <f>IF(AND(G23&lt;10, H21&lt;10), 'SEMESTRE N°1'!S25, IF(AND(G23&gt;=10, H21&gt;=10), G23, IF(AND(G23&gt;=10, H21&lt;10), G23, IF(AND(G23&lt;10, H21&gt;=10), G23, ""))))</f>
        <v>7</v>
      </c>
      <c r="K23" s="326"/>
      <c r="L23" s="325"/>
      <c r="M23" s="253"/>
    </row>
    <row r="24" spans="2:13">
      <c r="B24" s="234"/>
      <c r="C24" s="363" t="s">
        <v>63</v>
      </c>
      <c r="D24" s="364" t="s">
        <v>64</v>
      </c>
      <c r="E24" s="120" t="s">
        <v>65</v>
      </c>
      <c r="F24" s="9">
        <v>4</v>
      </c>
      <c r="G24" s="108">
        <f>[1]BULL_N15!G24</f>
        <v>7.5</v>
      </c>
      <c r="H24" s="358">
        <f>IF(AND(G24&gt;=7, G25&gt;=7), ROUND(((F24*G24) + (F25*G25)) / (F24 + F25), 2), 0)</f>
        <v>0</v>
      </c>
      <c r="I24" s="358">
        <f>IF(H24&gt;9.99,(F24+F25),0)</f>
        <v>0</v>
      </c>
      <c r="J24" s="165">
        <f>IF(AND(G24&lt;10, H24&lt;10), 'SEMESTRE N°1'!V25, IF(AND(G24&gt;=10, H24&gt;=10), G24, IF(AND(G24&gt;=10, H24&lt;10), G24, IF(AND(G24&lt;10, H24&gt;=10), G24, ""))))</f>
        <v>12</v>
      </c>
      <c r="K24" s="348">
        <f>IF(AND(J24&gt;=7, J25&gt;=7), ROUND(((F24*J24) + (F25*J25)) / (F24 + F25), 2), 0)</f>
        <v>13</v>
      </c>
      <c r="L24" s="348">
        <f>IF(K24&gt;9.99,(F24+F25),0)</f>
        <v>8</v>
      </c>
      <c r="M24" s="254" t="str">
        <f>IF(K24&gt;9.99,"Validé","Non validé")</f>
        <v>Validé</v>
      </c>
    </row>
    <row r="25" spans="2:13" ht="15" customHeight="1">
      <c r="B25" s="234"/>
      <c r="C25" s="363"/>
      <c r="D25" s="367"/>
      <c r="E25" s="120" t="s">
        <v>66</v>
      </c>
      <c r="F25" s="9">
        <v>4</v>
      </c>
      <c r="G25" s="108">
        <f>[1]BULL_N15!G25</f>
        <v>6.532</v>
      </c>
      <c r="H25" s="359"/>
      <c r="I25" s="358"/>
      <c r="J25" s="165">
        <f>IF(AND(G25&lt;10, H24&lt;10), 'SEMESTRE N°1'!Y25, IF(AND(G25&gt;=10, H24&gt;=10), G25, IF(AND(G25&gt;=10, H24&lt;10), G25, IF(AND(G25&lt;10, H24&gt;=10), G25, ""))))</f>
        <v>14</v>
      </c>
      <c r="K25" s="349"/>
      <c r="L25" s="349"/>
      <c r="M25" s="255"/>
    </row>
    <row r="26" spans="2:13" ht="15" customHeight="1">
      <c r="B26" s="234"/>
      <c r="C26" s="363" t="s">
        <v>67</v>
      </c>
      <c r="D26" s="368" t="s">
        <v>68</v>
      </c>
      <c r="E26" s="120" t="s">
        <v>69</v>
      </c>
      <c r="F26" s="9">
        <v>2</v>
      </c>
      <c r="G26" s="108">
        <f>[1]BULL_N15!G26</f>
        <v>13.8</v>
      </c>
      <c r="H26" s="358">
        <f>IF(AND(G26&gt;=7, G27&gt;=7), ROUND(((F26*G26) + (F27*G27)) / (F26 + F27), 2), 0)</f>
        <v>11.7</v>
      </c>
      <c r="I26" s="358">
        <f>IF(H26&gt;9.99,(F26+F27),0)</f>
        <v>5</v>
      </c>
      <c r="J26" s="159">
        <f>IF(AND(G26&lt;10, H26&lt;10), 'SEMESTRE N°1'!AB25, IF(AND(G26&gt;=10, H26&gt;=10), G26, IF(AND(G26&gt;=10, H26&lt;10), G26, IF(AND(G26&lt;10, H26&gt;=10), G26, ""))))</f>
        <v>13.8</v>
      </c>
      <c r="K26" s="270">
        <f>IF(AND(J26&gt;=7, J27&gt;=7), ROUND(((F26*J26) + (F27*J27)) / (F26 + F27), 2), 0)</f>
        <v>11.7</v>
      </c>
      <c r="L26" s="270">
        <f>IF(K26&gt;9.99,(F26+F27),0)</f>
        <v>5</v>
      </c>
      <c r="M26" s="254" t="str">
        <f>IF(K26&gt;9.99,"Validé","Non validé")</f>
        <v>Validé</v>
      </c>
    </row>
    <row r="27" spans="2:13">
      <c r="B27" s="234"/>
      <c r="C27" s="363"/>
      <c r="D27" s="369"/>
      <c r="E27" s="120" t="s">
        <v>70</v>
      </c>
      <c r="F27" s="9">
        <v>3</v>
      </c>
      <c r="G27" s="108">
        <f>[1]BULL_N15!G27</f>
        <v>10.3</v>
      </c>
      <c r="H27" s="359"/>
      <c r="I27" s="358"/>
      <c r="J27" s="159">
        <f>IF(AND(G27&lt;10, H26&lt;10), 'SEMESTRE N°1'!AE25, IF(AND(G27&gt;=10, H26&gt;=10), G27, IF(AND(G27&gt;=10, H26&lt;10), G27, IF(AND(G27&lt;10, H26&gt;=10), G27, ""))))</f>
        <v>10.3</v>
      </c>
      <c r="K27" s="271"/>
      <c r="L27" s="322"/>
      <c r="M27" s="255"/>
    </row>
    <row r="28" spans="2:13" ht="20.399999999999999" customHeight="1">
      <c r="B28" s="234"/>
      <c r="C28" s="284" t="s">
        <v>71</v>
      </c>
      <c r="D28" s="285"/>
      <c r="E28" s="284"/>
      <c r="F28" s="19">
        <f>F19+F20+F21+F22+F23+F24+F25+F26+F27</f>
        <v>30</v>
      </c>
      <c r="G28" s="109"/>
      <c r="H28" s="117">
        <f>ROUND((H19+H21+H24+H26)/4,2)</f>
        <v>5.56</v>
      </c>
      <c r="I28" s="110">
        <f>I26+I24+I21+I19</f>
        <v>11</v>
      </c>
      <c r="J28" s="91"/>
      <c r="K28" s="111">
        <f>ROUND((K19+K21+K24+K26)/4,2)</f>
        <v>11.52</v>
      </c>
      <c r="L28" s="107">
        <f>SUM(L19:L27)</f>
        <v>30</v>
      </c>
      <c r="M28" s="88"/>
    </row>
    <row r="29" spans="2:13">
      <c r="C29" s="11"/>
      <c r="G29" s="11"/>
    </row>
    <row r="30" spans="2:13" ht="18">
      <c r="B30" s="360" t="s">
        <v>72</v>
      </c>
      <c r="C30" s="361"/>
      <c r="D30" s="21">
        <f>L28</f>
        <v>30</v>
      </c>
      <c r="E30" s="12"/>
      <c r="F30" s="13"/>
      <c r="G30" s="14"/>
      <c r="H30" s="15"/>
      <c r="I30" s="15"/>
      <c r="J30" s="330" t="s">
        <v>73</v>
      </c>
      <c r="K30" s="330"/>
      <c r="L30" s="330"/>
      <c r="M30" s="330"/>
    </row>
    <row r="31" spans="2:13" ht="15.6">
      <c r="B31" s="360" t="s">
        <v>74</v>
      </c>
      <c r="C31" s="361"/>
      <c r="D31" s="22" t="str">
        <f>IF(D30=F28,"Semestre validé","Semestre non validé")</f>
        <v>Semestre validé</v>
      </c>
      <c r="E31" s="13"/>
      <c r="F31" s="13"/>
      <c r="G31" s="16"/>
      <c r="H31" s="36"/>
      <c r="I31" s="36"/>
      <c r="J31" s="36"/>
      <c r="K31" s="36"/>
      <c r="L31" s="13"/>
    </row>
    <row r="32" spans="2:13">
      <c r="B32" s="360" t="s">
        <v>75</v>
      </c>
      <c r="C32" s="361"/>
      <c r="D32" s="1">
        <v>0</v>
      </c>
      <c r="E32" s="13"/>
      <c r="F32" s="13"/>
      <c r="G32" s="16"/>
      <c r="H32" s="13"/>
      <c r="I32" s="13"/>
      <c r="J32" s="13"/>
    </row>
    <row r="33" spans="2:13">
      <c r="B33" s="59"/>
      <c r="C33" s="59"/>
      <c r="D33" s="1"/>
      <c r="E33" s="13"/>
      <c r="F33" s="13"/>
      <c r="G33" s="16"/>
      <c r="H33" s="13"/>
      <c r="I33" s="13"/>
      <c r="J33" s="13"/>
    </row>
    <row r="34" spans="2:13">
      <c r="B34" s="59"/>
      <c r="C34" s="59"/>
      <c r="D34" s="1"/>
      <c r="E34" s="13"/>
      <c r="F34" s="13"/>
      <c r="G34" s="16"/>
      <c r="H34" s="13"/>
      <c r="I34" s="13"/>
      <c r="J34" s="13"/>
    </row>
    <row r="35" spans="2:13">
      <c r="B35" s="126"/>
      <c r="C35" s="126"/>
      <c r="D35" s="127"/>
      <c r="E35" s="125"/>
      <c r="F35" s="125"/>
      <c r="G35" s="124"/>
      <c r="H35" s="125"/>
      <c r="I35" s="125"/>
      <c r="J35" s="125"/>
      <c r="K35" s="123"/>
      <c r="L35" s="123"/>
      <c r="M35" s="123"/>
    </row>
    <row r="36" spans="2:13" ht="14.4" customHeight="1">
      <c r="B36" s="123"/>
      <c r="C36" s="124"/>
      <c r="D36" s="125"/>
      <c r="E36" s="125"/>
      <c r="F36" s="125"/>
      <c r="G36" s="275" t="s">
        <v>76</v>
      </c>
      <c r="H36" s="275"/>
      <c r="I36" s="275"/>
      <c r="J36" s="275"/>
      <c r="K36" s="275"/>
      <c r="L36" s="275"/>
      <c r="M36" s="275"/>
    </row>
    <row r="37" spans="2:13" ht="15" customHeight="1">
      <c r="B37" s="308" t="s">
        <v>77</v>
      </c>
      <c r="C37" s="308"/>
      <c r="D37" s="308"/>
      <c r="E37" s="308"/>
      <c r="F37" s="308"/>
      <c r="G37" s="308"/>
      <c r="H37" s="308"/>
      <c r="I37" s="308"/>
      <c r="J37" s="308"/>
      <c r="K37" s="308"/>
      <c r="L37" s="308"/>
      <c r="M37" s="308"/>
    </row>
    <row r="38" spans="2:13">
      <c r="B38" s="308"/>
      <c r="C38" s="308"/>
      <c r="D38" s="308"/>
      <c r="E38" s="308"/>
      <c r="F38" s="308"/>
      <c r="G38" s="308"/>
      <c r="H38" s="308"/>
      <c r="I38" s="308"/>
      <c r="J38" s="308"/>
      <c r="K38" s="308"/>
      <c r="L38" s="308"/>
      <c r="M38" s="308"/>
    </row>
    <row r="40" spans="2:13" hidden="1">
      <c r="B40" s="18" t="s">
        <v>78</v>
      </c>
    </row>
  </sheetData>
  <mergeCells count="58">
    <mergeCell ref="B30:C30"/>
    <mergeCell ref="B31:C31"/>
    <mergeCell ref="B32:C32"/>
    <mergeCell ref="G36:M36"/>
    <mergeCell ref="C28:E28"/>
    <mergeCell ref="B17:B28"/>
    <mergeCell ref="C17:D18"/>
    <mergeCell ref="E17:E18"/>
    <mergeCell ref="F17:F18"/>
    <mergeCell ref="H17:I17"/>
    <mergeCell ref="M24:M25"/>
    <mergeCell ref="M26:M27"/>
    <mergeCell ref="L26:L27"/>
    <mergeCell ref="C24:C25"/>
    <mergeCell ref="D24:D25"/>
    <mergeCell ref="H24:H25"/>
    <mergeCell ref="I24:I25"/>
    <mergeCell ref="K24:K25"/>
    <mergeCell ref="L24:L25"/>
    <mergeCell ref="C26:C27"/>
    <mergeCell ref="D26:D27"/>
    <mergeCell ref="H26:H27"/>
    <mergeCell ref="I26:I27"/>
    <mergeCell ref="K26:K27"/>
    <mergeCell ref="L19:L20"/>
    <mergeCell ref="L21:L23"/>
    <mergeCell ref="C19:C20"/>
    <mergeCell ref="D19:D20"/>
    <mergeCell ref="H19:H20"/>
    <mergeCell ref="I19:I20"/>
    <mergeCell ref="K19:K20"/>
    <mergeCell ref="C21:C23"/>
    <mergeCell ref="D21:D23"/>
    <mergeCell ref="H21:H23"/>
    <mergeCell ref="I21:I23"/>
    <mergeCell ref="K21:K23"/>
    <mergeCell ref="C14:E14"/>
    <mergeCell ref="G14:L14"/>
    <mergeCell ref="B15:D16"/>
    <mergeCell ref="E15:F16"/>
    <mergeCell ref="G16:I16"/>
    <mergeCell ref="G15:M15"/>
    <mergeCell ref="K17:L17"/>
    <mergeCell ref="J30:M30"/>
    <mergeCell ref="E5:M8"/>
    <mergeCell ref="B9:M9"/>
    <mergeCell ref="B37:M38"/>
    <mergeCell ref="J16:L16"/>
    <mergeCell ref="M16:M18"/>
    <mergeCell ref="M19:M20"/>
    <mergeCell ref="M21:M23"/>
    <mergeCell ref="C11:E11"/>
    <mergeCell ref="G11:L11"/>
    <mergeCell ref="B12:C12"/>
    <mergeCell ref="D12:E12"/>
    <mergeCell ref="G12:L12"/>
    <mergeCell ref="C13:E13"/>
    <mergeCell ref="G13:L13"/>
  </mergeCells>
  <pageMargins left="0" right="0" top="0" bottom="0" header="0" footer="0"/>
  <pageSetup paperSize="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613BE-03E7-48F0-B42B-A0B52D7F168B}">
  <sheetPr codeName="Feuil18">
    <tabColor rgb="FF7030A0"/>
  </sheetPr>
  <dimension ref="A5:M41"/>
  <sheetViews>
    <sheetView showGridLines="0" tabSelected="1" view="pageLayout" topLeftCell="A7" zoomScaleNormal="100" workbookViewId="0">
      <selection activeCell="C11" sqref="C11:E11"/>
    </sheetView>
  </sheetViews>
  <sheetFormatPr baseColWidth="10" defaultColWidth="10.88671875" defaultRowHeight="14.4"/>
  <cols>
    <col min="1" max="1" width="4.6640625" style="5" customWidth="1"/>
    <col min="2" max="2" width="10.88671875" style="5"/>
    <col min="3" max="3" width="10" style="5" customWidth="1"/>
    <col min="4" max="4" width="15.5546875" style="5" customWidth="1"/>
    <col min="5" max="5" width="31.109375" style="5" customWidth="1"/>
    <col min="6" max="6" width="10.6640625" style="5" customWidth="1"/>
    <col min="7" max="7" width="7.6640625" style="5" customWidth="1"/>
    <col min="8" max="8" width="6.88671875" style="5" customWidth="1"/>
    <col min="9" max="9" width="7.88671875" style="5" customWidth="1"/>
    <col min="10" max="12" width="8.6640625" style="5" customWidth="1"/>
    <col min="13" max="13" width="12.6640625" style="5" customWidth="1"/>
    <col min="14" max="16384" width="10.88671875" style="5"/>
  </cols>
  <sheetData>
    <row r="5" spans="1:13" ht="23.25" customHeight="1">
      <c r="E5" s="375" t="s">
        <v>162</v>
      </c>
      <c r="F5" s="375"/>
      <c r="G5" s="375"/>
      <c r="H5" s="375"/>
      <c r="I5" s="375"/>
      <c r="J5" s="375"/>
      <c r="K5" s="375"/>
      <c r="L5" s="375"/>
      <c r="M5" s="375"/>
    </row>
    <row r="6" spans="1:13">
      <c r="E6" s="375"/>
      <c r="F6" s="375"/>
      <c r="G6" s="375"/>
      <c r="H6" s="375"/>
      <c r="I6" s="375"/>
      <c r="J6" s="375"/>
      <c r="K6" s="375"/>
      <c r="L6" s="375"/>
      <c r="M6" s="375"/>
    </row>
    <row r="7" spans="1:13">
      <c r="E7" s="375"/>
      <c r="F7" s="375"/>
      <c r="G7" s="375"/>
      <c r="H7" s="375"/>
      <c r="I7" s="375"/>
      <c r="J7" s="375"/>
      <c r="K7" s="375"/>
      <c r="L7" s="375"/>
      <c r="M7" s="375"/>
    </row>
    <row r="8" spans="1:13">
      <c r="E8" s="376"/>
      <c r="F8" s="376"/>
      <c r="G8" s="376"/>
      <c r="H8" s="376"/>
      <c r="I8" s="376"/>
      <c r="J8" s="376"/>
      <c r="K8" s="376"/>
      <c r="L8" s="376"/>
      <c r="M8" s="376"/>
    </row>
    <row r="9" spans="1:13" ht="18" customHeight="1">
      <c r="B9" s="316" t="s">
        <v>35</v>
      </c>
      <c r="C9" s="317"/>
      <c r="D9" s="317"/>
      <c r="E9" s="317"/>
      <c r="F9" s="317"/>
      <c r="G9" s="317"/>
      <c r="H9" s="317"/>
      <c r="I9" s="317"/>
      <c r="J9" s="317"/>
      <c r="K9" s="317"/>
      <c r="L9" s="317"/>
      <c r="M9" s="318"/>
    </row>
    <row r="10" spans="1:13" ht="18" customHeight="1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1:13">
      <c r="B11" s="6" t="s">
        <v>36</v>
      </c>
      <c r="C11" s="291" t="str">
        <f>'SEMESTRE N°1'!A26</f>
        <v>MBONGOMPASI ONANGA Clever</v>
      </c>
      <c r="D11" s="292"/>
      <c r="E11" s="292"/>
      <c r="F11" s="6" t="s">
        <v>37</v>
      </c>
      <c r="G11" s="294" t="str">
        <f>B41</f>
        <v>Licence Pro. Informatique-1ère année Tronc commun</v>
      </c>
      <c r="H11" s="294"/>
      <c r="I11" s="294"/>
      <c r="J11" s="294"/>
      <c r="K11" s="294"/>
      <c r="L11" s="294"/>
    </row>
    <row r="12" spans="1:13">
      <c r="B12" s="246" t="s">
        <v>38</v>
      </c>
      <c r="C12" s="246"/>
      <c r="D12" s="295">
        <f>'SEMESTRE N°1'!B26</f>
        <v>39197</v>
      </c>
      <c r="E12" s="294"/>
      <c r="F12" s="6" t="s">
        <v>29</v>
      </c>
      <c r="G12" s="294" t="str">
        <f>'SEMESTRE N°1'!E26</f>
        <v>TC-1</v>
      </c>
      <c r="H12" s="294"/>
      <c r="I12" s="294"/>
      <c r="J12" s="294"/>
      <c r="K12" s="294"/>
      <c r="L12" s="294"/>
    </row>
    <row r="13" spans="1:13">
      <c r="B13" s="6" t="s">
        <v>39</v>
      </c>
      <c r="C13" s="291" t="str">
        <f>'SEMESTRE N°1'!C26</f>
        <v>Gabonaise</v>
      </c>
      <c r="D13" s="292"/>
      <c r="E13" s="292"/>
      <c r="F13" s="6" t="s">
        <v>40</v>
      </c>
      <c r="G13" s="249"/>
      <c r="H13" s="249"/>
      <c r="I13" s="249"/>
      <c r="J13" s="249"/>
      <c r="K13" s="249"/>
      <c r="L13" s="249"/>
    </row>
    <row r="14" spans="1:13">
      <c r="B14" s="6" t="s">
        <v>41</v>
      </c>
      <c r="C14" s="296" t="str">
        <f>'SEMESTRE N°1'!D26</f>
        <v>182024</v>
      </c>
      <c r="D14" s="297"/>
      <c r="E14" s="297"/>
      <c r="F14" s="6" t="s">
        <v>42</v>
      </c>
      <c r="G14" s="278"/>
      <c r="H14" s="278"/>
      <c r="I14" s="278"/>
      <c r="J14" s="278"/>
      <c r="K14" s="278"/>
      <c r="L14" s="278"/>
      <c r="M14" s="133"/>
    </row>
    <row r="15" spans="1:13">
      <c r="A15" s="114"/>
      <c r="B15" s="282" t="s">
        <v>43</v>
      </c>
      <c r="C15" s="283"/>
      <c r="D15" s="283"/>
      <c r="E15" s="283" t="s">
        <v>17</v>
      </c>
      <c r="F15" s="371"/>
      <c r="G15" s="342" t="s">
        <v>44</v>
      </c>
      <c r="H15" s="343"/>
      <c r="I15" s="343"/>
      <c r="J15" s="343"/>
      <c r="K15" s="343"/>
      <c r="L15" s="343"/>
      <c r="M15" s="344"/>
    </row>
    <row r="16" spans="1:13">
      <c r="A16" s="114"/>
      <c r="B16" s="282"/>
      <c r="C16" s="283"/>
      <c r="D16" s="283"/>
      <c r="E16" s="283"/>
      <c r="F16" s="283"/>
      <c r="G16" s="372" t="s">
        <v>83</v>
      </c>
      <c r="H16" s="372"/>
      <c r="I16" s="372"/>
      <c r="J16" s="256" t="s">
        <v>46</v>
      </c>
      <c r="K16" s="257"/>
      <c r="L16" s="338"/>
      <c r="M16" s="374" t="s">
        <v>47</v>
      </c>
    </row>
    <row r="17" spans="2:13">
      <c r="B17" s="233" t="s">
        <v>48</v>
      </c>
      <c r="C17" s="272" t="s">
        <v>49</v>
      </c>
      <c r="D17" s="272"/>
      <c r="E17" s="272" t="s">
        <v>49</v>
      </c>
      <c r="F17" s="272" t="s">
        <v>50</v>
      </c>
      <c r="G17" s="2" t="s">
        <v>51</v>
      </c>
      <c r="H17" s="272" t="s">
        <v>52</v>
      </c>
      <c r="I17" s="272"/>
      <c r="J17" s="87" t="s">
        <v>51</v>
      </c>
      <c r="K17" s="262" t="s">
        <v>52</v>
      </c>
      <c r="L17" s="337"/>
      <c r="M17" s="340"/>
    </row>
    <row r="18" spans="2:13">
      <c r="B18" s="234"/>
      <c r="C18" s="272"/>
      <c r="D18" s="274"/>
      <c r="E18" s="272"/>
      <c r="F18" s="272"/>
      <c r="G18" s="60" t="s">
        <v>53</v>
      </c>
      <c r="H18" s="60" t="s">
        <v>53</v>
      </c>
      <c r="I18" s="60" t="s">
        <v>50</v>
      </c>
      <c r="J18" s="87" t="s">
        <v>53</v>
      </c>
      <c r="K18" s="87" t="s">
        <v>53</v>
      </c>
      <c r="L18" s="87" t="s">
        <v>50</v>
      </c>
      <c r="M18" s="341"/>
    </row>
    <row r="19" spans="2:13" ht="18" customHeight="1">
      <c r="B19" s="234"/>
      <c r="C19" s="370" t="s">
        <v>54</v>
      </c>
      <c r="D19" s="364" t="s">
        <v>55</v>
      </c>
      <c r="E19" s="120" t="s">
        <v>56</v>
      </c>
      <c r="F19" s="9">
        <v>3</v>
      </c>
      <c r="G19" s="108">
        <f>[1]BULL_N16!G19</f>
        <v>8.8000000000000007</v>
      </c>
      <c r="H19" s="358">
        <f>IF(AND(G19&gt;=7, G20&gt;=7), ROUND(((F19*G19) + (F20*G20)) / (F19 + F20), 2), 0)</f>
        <v>0</v>
      </c>
      <c r="I19" s="358">
        <f>IF(H19&gt;9.99,(F19+F20),0)</f>
        <v>0</v>
      </c>
      <c r="J19" s="165">
        <f>IF(AND(G19&lt;10, H19&lt;10), 'SEMESTRE N°1'!G26, IF(AND(G19&gt;=10, H19&gt;=10), G19, IF(AND(G19&gt;=10, H19&lt;10), G19, IF(AND(G19&lt;10, H19&gt;=10), G19, ""))))</f>
        <v>14</v>
      </c>
      <c r="K19" s="293">
        <f>IF(AND(J19&gt;=7, J20&gt;=7), ROUND(((F19*J19) + (F20*J20)) / (F19 + F20), 2), 0)</f>
        <v>16.5</v>
      </c>
      <c r="L19" s="293">
        <f>IF(K19&gt;9.99,(F19+F20),0)</f>
        <v>6</v>
      </c>
      <c r="M19" s="263" t="str">
        <f>IF(K19&gt;9.99,"Validé","Non validé")</f>
        <v>Validé</v>
      </c>
    </row>
    <row r="20" spans="2:13">
      <c r="B20" s="234"/>
      <c r="C20" s="370"/>
      <c r="D20" s="367"/>
      <c r="E20" s="120" t="s">
        <v>57</v>
      </c>
      <c r="F20" s="9">
        <v>3</v>
      </c>
      <c r="G20" s="108">
        <f>[1]BULL_N16!G20</f>
        <v>6.8000000000000007</v>
      </c>
      <c r="H20" s="359"/>
      <c r="I20" s="358"/>
      <c r="J20" s="165">
        <f>IF(AND(G20&lt;10, H19&lt;10), 'SEMESTRE N°1'!J26, IF(AND(G20&gt;=10, H19&gt;=10), G20, IF(AND(G20&gt;=10, H19&lt;10), G20, IF(AND(G20&lt;10, H19&gt;=10), G20, ""))))</f>
        <v>19</v>
      </c>
      <c r="K20" s="293"/>
      <c r="L20" s="293"/>
      <c r="M20" s="263"/>
    </row>
    <row r="21" spans="2:13">
      <c r="B21" s="234"/>
      <c r="C21" s="370" t="s">
        <v>58</v>
      </c>
      <c r="D21" s="364" t="s">
        <v>59</v>
      </c>
      <c r="E21" s="120" t="s">
        <v>169</v>
      </c>
      <c r="F21" s="9">
        <v>5</v>
      </c>
      <c r="G21" s="108">
        <f>[1]BULL_N16!G21</f>
        <v>9</v>
      </c>
      <c r="H21" s="358">
        <f>IF(AND(G21&gt;=7, G22&gt;=7, G23&gt;=7), ROUND(((F21*G21) + (F22*G22)+ (F23*G23)) / (F21 + F22+F23), 2), 0)</f>
        <v>0</v>
      </c>
      <c r="I21" s="358">
        <f>IF(H21&gt;9.99,(F21+F22+F23),0)</f>
        <v>0</v>
      </c>
      <c r="J21" s="159">
        <f>IF(AND(G21&lt;10, H21&lt;10), 'SEMESTRE N°1'!M26, IF(AND(G21&gt;=10, H21&gt;=10), G21, IF(AND(G21&gt;=10, H21&lt;10), G21, IF(AND(G21&lt;10, H21&gt;=10), G21, ""))))</f>
        <v>12</v>
      </c>
      <c r="K21" s="326">
        <f>IF(AND(J21&gt;=7, J22&gt;=7, J23&gt;=7), ROUND(((F21*J21) + (F22*J22)+ (F23*J23)) / (F21 + F22+F23), 2), 0)</f>
        <v>0</v>
      </c>
      <c r="L21" s="323">
        <f>IF(K21&gt;9.99,(F21+F22+F23),0)</f>
        <v>0</v>
      </c>
      <c r="M21" s="251" t="str">
        <f>IF(K21&gt;9.99,"Validé","Non validé")</f>
        <v>Non validé</v>
      </c>
    </row>
    <row r="22" spans="2:13">
      <c r="B22" s="234"/>
      <c r="C22" s="370"/>
      <c r="D22" s="366"/>
      <c r="E22" s="120" t="s">
        <v>61</v>
      </c>
      <c r="F22" s="9">
        <v>3</v>
      </c>
      <c r="G22" s="108">
        <f>[1]BULL_N16!G22</f>
        <v>16.689999999999998</v>
      </c>
      <c r="H22" s="359"/>
      <c r="I22" s="358"/>
      <c r="J22" s="159">
        <f>IF(AND(G22&lt;10, H21&lt;10), 'SEMESTRE N°1'!P26, IF(AND(G22&gt;=10, H21&gt;=10), G22, IF(AND(G22&gt;=10, H21&lt;10), G22, IF(AND(G22&lt;10, H21&gt;=10), G22, ""))))</f>
        <v>16.689999999999998</v>
      </c>
      <c r="K22" s="326"/>
      <c r="L22" s="324"/>
      <c r="M22" s="252"/>
    </row>
    <row r="23" spans="2:13">
      <c r="B23" s="234"/>
      <c r="C23" s="370"/>
      <c r="D23" s="365"/>
      <c r="E23" s="120" t="s">
        <v>62</v>
      </c>
      <c r="F23" s="9">
        <v>3</v>
      </c>
      <c r="G23" s="108">
        <f>[1]BULL_N16!G23</f>
        <v>4.7</v>
      </c>
      <c r="H23" s="359"/>
      <c r="I23" s="358"/>
      <c r="J23" s="165">
        <f>G23</f>
        <v>4.7</v>
      </c>
      <c r="K23" s="326"/>
      <c r="L23" s="325"/>
      <c r="M23" s="253"/>
    </row>
    <row r="24" spans="2:13">
      <c r="B24" s="234"/>
      <c r="C24" s="370" t="s">
        <v>63</v>
      </c>
      <c r="D24" s="378" t="s">
        <v>64</v>
      </c>
      <c r="E24" s="120" t="s">
        <v>65</v>
      </c>
      <c r="F24" s="9">
        <v>4</v>
      </c>
      <c r="G24" s="108">
        <f>[1]BULL_N16!G24</f>
        <v>4.0999999999999996</v>
      </c>
      <c r="H24" s="358">
        <f>IF(AND(G24&gt;=7, G25&gt;=7), ROUND(((F24*G24) + (F25*G25)) / (F24 + F25), 2), 0)</f>
        <v>0</v>
      </c>
      <c r="I24" s="358">
        <f>IF(H24&gt;9.99,(F24+F25),0)</f>
        <v>0</v>
      </c>
      <c r="J24" s="165">
        <f>IF(AND(G24&lt;10, H24&lt;10), 'SEMESTRE N°1'!V26, IF(AND(G24&gt;=10, H24&gt;=10), G24, IF(AND(G24&gt;=10, H24&lt;10), G24, IF(AND(G24&lt;10, H24&gt;=10), G24, ""))))</f>
        <v>17</v>
      </c>
      <c r="K24" s="348">
        <f>IF(AND(J24&gt;=7, J25&gt;=7), ROUND(((F24*J24) + (F25*J25)) / (F24 + F25), 2), 0)</f>
        <v>14.05</v>
      </c>
      <c r="L24" s="348">
        <f>IF(K24&gt;9.99,(F24+F25),0)</f>
        <v>8</v>
      </c>
      <c r="M24" s="254" t="str">
        <f>IF(K24&gt;9.99,"Validé","Non validé")</f>
        <v>Validé</v>
      </c>
    </row>
    <row r="25" spans="2:13">
      <c r="B25" s="234"/>
      <c r="C25" s="370"/>
      <c r="D25" s="365"/>
      <c r="E25" s="120" t="s">
        <v>66</v>
      </c>
      <c r="F25" s="9">
        <v>4</v>
      </c>
      <c r="G25" s="108">
        <f>[1]BULL_N16!G25</f>
        <v>11.1</v>
      </c>
      <c r="H25" s="359"/>
      <c r="I25" s="358"/>
      <c r="J25" s="159">
        <f>IF(AND(G25&lt;10, H24&lt;10), 'SEMESTRE N°1'!Y26, IF(AND(G25&gt;=10, H24&gt;=10), G25, IF(AND(G25&gt;=10, H24&lt;10), G25, IF(AND(G25&lt;10, H24&gt;=10), G25, ""))))</f>
        <v>11.1</v>
      </c>
      <c r="K25" s="349"/>
      <c r="L25" s="349"/>
      <c r="M25" s="255"/>
    </row>
    <row r="26" spans="2:13" ht="18" customHeight="1">
      <c r="B26" s="234"/>
      <c r="C26" s="370" t="s">
        <v>67</v>
      </c>
      <c r="D26" s="378" t="s">
        <v>68</v>
      </c>
      <c r="E26" s="120" t="s">
        <v>69</v>
      </c>
      <c r="F26" s="9">
        <v>2</v>
      </c>
      <c r="G26" s="108">
        <f>[1]BULL_N16!G26</f>
        <v>10.1</v>
      </c>
      <c r="H26" s="358">
        <f>IF(AND(G26&gt;=7, G27&gt;=7), ROUND(((F26*G26) + (F27*G27)) / (F26 + F27), 2), 0)</f>
        <v>13.34</v>
      </c>
      <c r="I26" s="358">
        <f>IF(H26&gt;9.99,(F26+F27),0)</f>
        <v>5</v>
      </c>
      <c r="J26" s="159">
        <f>IF(AND(G26&lt;10, H26&lt;10), 'SEMESTRE N°1'!AB26, IF(AND(G26&gt;=10, H26&gt;=10), G26, IF(AND(G26&gt;=10, H26&lt;10), G26, IF(AND(G26&lt;10, H26&gt;=10), G26, ""))))</f>
        <v>10.1</v>
      </c>
      <c r="K26" s="270">
        <f>IF(AND(J26&gt;=7, J27&gt;=7), ROUND(((F26*J26) + (F27*J27)) / (F26 + F27), 2), 0)</f>
        <v>13.34</v>
      </c>
      <c r="L26" s="270">
        <f>IF(K26&gt;9.99,(F26+F27),0)</f>
        <v>5</v>
      </c>
      <c r="M26" s="254" t="str">
        <f>IF(K26&gt;9.99,"Validé","Non validé")</f>
        <v>Validé</v>
      </c>
    </row>
    <row r="27" spans="2:13" ht="18" customHeight="1">
      <c r="B27" s="234"/>
      <c r="C27" s="370"/>
      <c r="D27" s="365"/>
      <c r="E27" s="120" t="s">
        <v>70</v>
      </c>
      <c r="F27" s="9">
        <v>3</v>
      </c>
      <c r="G27" s="108">
        <f>[1]BULL_N16!G27</f>
        <v>15.497999999999999</v>
      </c>
      <c r="H27" s="359"/>
      <c r="I27" s="358"/>
      <c r="J27" s="159">
        <f>IF(AND(G27&lt;10, H26&lt;10), 'SEMESTRE N°1'!AE26, IF(AND(G27&gt;=10, H26&gt;=10), G27, IF(AND(G27&gt;=10, H26&lt;10), G27, IF(AND(G27&lt;10, H26&gt;=10), G27, ""))))</f>
        <v>15.497999999999999</v>
      </c>
      <c r="K27" s="271"/>
      <c r="L27" s="322"/>
      <c r="M27" s="255"/>
    </row>
    <row r="28" spans="2:13" ht="18.899999999999999" customHeight="1">
      <c r="B28" s="234"/>
      <c r="C28" s="284" t="s">
        <v>71</v>
      </c>
      <c r="D28" s="285"/>
      <c r="E28" s="284"/>
      <c r="F28" s="19">
        <f>F19+F20+F21+F22+F23+F24+F25+F26+F27</f>
        <v>30</v>
      </c>
      <c r="G28" s="3"/>
      <c r="H28" s="58">
        <f>ROUND((H19+H21+H24+H26)/4,2)</f>
        <v>3.34</v>
      </c>
      <c r="I28" s="20">
        <f>I26+I24+I21+I19</f>
        <v>5</v>
      </c>
      <c r="J28" s="91"/>
      <c r="K28" s="111">
        <f>ROUND((K19+K21+K24+K26)/4,2)</f>
        <v>10.97</v>
      </c>
      <c r="L28" s="107">
        <f>SUM(L19:L27)</f>
        <v>19</v>
      </c>
      <c r="M28" s="88"/>
    </row>
    <row r="29" spans="2:13">
      <c r="C29" s="11"/>
      <c r="G29" s="11"/>
    </row>
    <row r="30" spans="2:13" ht="16.5" customHeight="1">
      <c r="B30" s="360" t="s">
        <v>72</v>
      </c>
      <c r="C30" s="361"/>
      <c r="D30" s="21">
        <f>L28</f>
        <v>19</v>
      </c>
      <c r="E30" s="12"/>
      <c r="F30" s="13"/>
      <c r="G30" s="14"/>
      <c r="H30" s="15"/>
      <c r="I30" s="15"/>
      <c r="K30" s="330" t="s">
        <v>73</v>
      </c>
      <c r="L30" s="330"/>
      <c r="M30" s="330"/>
    </row>
    <row r="31" spans="2:13" ht="13.5" customHeight="1">
      <c r="B31" s="360" t="s">
        <v>74</v>
      </c>
      <c r="C31" s="361"/>
      <c r="D31" s="22" t="str">
        <f>IF(D30=F28,"Semestre validé","Semestre non validé")</f>
        <v>Semestre non validé</v>
      </c>
      <c r="E31" s="13"/>
      <c r="F31" s="13"/>
      <c r="G31" s="16"/>
      <c r="H31" s="36"/>
      <c r="I31" s="36"/>
      <c r="J31" s="36"/>
      <c r="K31" s="36"/>
      <c r="L31" s="13"/>
    </row>
    <row r="32" spans="2:13" ht="13.5" customHeight="1">
      <c r="B32" s="360" t="s">
        <v>75</v>
      </c>
      <c r="C32" s="361"/>
      <c r="D32" s="1">
        <v>0</v>
      </c>
      <c r="E32" s="13"/>
      <c r="F32" s="13"/>
      <c r="G32" s="16"/>
      <c r="H32" s="36"/>
      <c r="I32" s="36"/>
      <c r="J32" s="36"/>
      <c r="K32" s="36"/>
      <c r="L32" s="13"/>
    </row>
    <row r="33" spans="2:13" ht="13.5" customHeight="1">
      <c r="B33" s="178"/>
      <c r="C33" s="178"/>
      <c r="D33" s="1"/>
      <c r="E33" s="13"/>
      <c r="F33" s="13"/>
      <c r="G33" s="16"/>
      <c r="H33" s="36"/>
      <c r="I33" s="36"/>
      <c r="J33" s="36"/>
      <c r="K33" s="36"/>
      <c r="L33" s="13"/>
    </row>
    <row r="34" spans="2:13">
      <c r="B34" s="59"/>
      <c r="C34" s="59"/>
      <c r="D34" s="1"/>
      <c r="E34" s="13"/>
      <c r="F34" s="13"/>
      <c r="G34" s="16"/>
      <c r="H34" s="13"/>
      <c r="I34" s="13"/>
      <c r="J34" s="13"/>
    </row>
    <row r="35" spans="2:13">
      <c r="B35" s="126"/>
      <c r="C35" s="126"/>
      <c r="D35" s="127"/>
      <c r="E35" s="125"/>
      <c r="F35" s="125"/>
      <c r="G35" s="124"/>
      <c r="H35" s="125"/>
      <c r="I35" s="125"/>
      <c r="J35" s="125"/>
      <c r="K35" s="123"/>
      <c r="L35" s="123"/>
      <c r="M35" s="123"/>
    </row>
    <row r="36" spans="2:13">
      <c r="B36" s="123"/>
      <c r="C36" s="124"/>
      <c r="D36" s="125"/>
      <c r="E36" s="125"/>
      <c r="F36" s="125"/>
      <c r="H36" s="377" t="s">
        <v>76</v>
      </c>
      <c r="I36" s="377"/>
      <c r="J36" s="377"/>
      <c r="K36" s="377"/>
      <c r="L36" s="377"/>
      <c r="M36" s="377"/>
    </row>
    <row r="37" spans="2:13" ht="15" customHeight="1">
      <c r="B37" s="373" t="s">
        <v>77</v>
      </c>
      <c r="C37" s="373"/>
      <c r="D37" s="373"/>
      <c r="E37" s="373"/>
      <c r="F37" s="373"/>
      <c r="G37" s="373"/>
      <c r="H37" s="373"/>
      <c r="I37" s="373"/>
      <c r="J37" s="373"/>
      <c r="K37" s="373"/>
      <c r="L37" s="373"/>
      <c r="M37" s="373"/>
    </row>
    <row r="38" spans="2:13">
      <c r="B38" s="373"/>
      <c r="C38" s="373"/>
      <c r="D38" s="373"/>
      <c r="E38" s="373"/>
      <c r="F38" s="373"/>
      <c r="G38" s="373"/>
      <c r="H38" s="373"/>
      <c r="I38" s="373"/>
      <c r="J38" s="373"/>
      <c r="K38" s="373"/>
      <c r="L38" s="373"/>
      <c r="M38" s="373"/>
    </row>
    <row r="40" spans="2:13" ht="18">
      <c r="G40" s="35"/>
      <c r="H40" s="35"/>
      <c r="I40" s="35"/>
      <c r="J40" s="35"/>
      <c r="K40" s="35"/>
      <c r="L40" s="35"/>
    </row>
    <row r="41" spans="2:13" hidden="1">
      <c r="B41" s="18" t="s">
        <v>78</v>
      </c>
    </row>
  </sheetData>
  <mergeCells count="58">
    <mergeCell ref="H36:M36"/>
    <mergeCell ref="B17:B28"/>
    <mergeCell ref="L26:L27"/>
    <mergeCell ref="C24:C25"/>
    <mergeCell ref="D24:D25"/>
    <mergeCell ref="H24:H25"/>
    <mergeCell ref="I24:I25"/>
    <mergeCell ref="K24:K25"/>
    <mergeCell ref="L24:L25"/>
    <mergeCell ref="B30:C30"/>
    <mergeCell ref="B31:C31"/>
    <mergeCell ref="B32:C32"/>
    <mergeCell ref="C28:E28"/>
    <mergeCell ref="H21:H23"/>
    <mergeCell ref="D26:D27"/>
    <mergeCell ref="C26:C27"/>
    <mergeCell ref="E5:M8"/>
    <mergeCell ref="B9:M9"/>
    <mergeCell ref="C17:D18"/>
    <mergeCell ref="E17:E18"/>
    <mergeCell ref="F17:F18"/>
    <mergeCell ref="H17:I17"/>
    <mergeCell ref="K17:L17"/>
    <mergeCell ref="C11:E11"/>
    <mergeCell ref="G11:L11"/>
    <mergeCell ref="B12:C12"/>
    <mergeCell ref="D12:E12"/>
    <mergeCell ref="G12:L12"/>
    <mergeCell ref="C13:E13"/>
    <mergeCell ref="B37:M38"/>
    <mergeCell ref="J16:L16"/>
    <mergeCell ref="M16:M18"/>
    <mergeCell ref="M19:M20"/>
    <mergeCell ref="M21:M23"/>
    <mergeCell ref="M24:M25"/>
    <mergeCell ref="M26:M27"/>
    <mergeCell ref="L19:L20"/>
    <mergeCell ref="L21:L23"/>
    <mergeCell ref="C19:C20"/>
    <mergeCell ref="D19:D20"/>
    <mergeCell ref="H19:H20"/>
    <mergeCell ref="H26:H27"/>
    <mergeCell ref="I26:I27"/>
    <mergeCell ref="K26:K27"/>
    <mergeCell ref="K30:M30"/>
    <mergeCell ref="K19:K20"/>
    <mergeCell ref="C21:C23"/>
    <mergeCell ref="D21:D23"/>
    <mergeCell ref="G13:L13"/>
    <mergeCell ref="C14:E14"/>
    <mergeCell ref="G14:L14"/>
    <mergeCell ref="B15:D16"/>
    <mergeCell ref="E15:F16"/>
    <mergeCell ref="G16:I16"/>
    <mergeCell ref="G15:M15"/>
    <mergeCell ref="I19:I20"/>
    <mergeCell ref="I21:I23"/>
    <mergeCell ref="K21:K23"/>
  </mergeCells>
  <pageMargins left="0" right="0" top="0" bottom="0" header="0" footer="0"/>
  <pageSetup paperSize="9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3A3CC-9DCB-4D17-9244-D2EA22A62B67}">
  <sheetPr codeName="Feuil19">
    <tabColor rgb="FF7030A0"/>
  </sheetPr>
  <dimension ref="B5:M39"/>
  <sheetViews>
    <sheetView showGridLines="0" view="pageLayout" topLeftCell="A14" zoomScale="112" zoomScaleNormal="100" zoomScalePageLayoutView="112" workbookViewId="0">
      <selection activeCell="C14" sqref="C14:E14"/>
    </sheetView>
  </sheetViews>
  <sheetFormatPr baseColWidth="10" defaultColWidth="10.88671875" defaultRowHeight="14.4"/>
  <cols>
    <col min="1" max="1" width="4.6640625" style="5" customWidth="1"/>
    <col min="2" max="2" width="10.88671875" style="5"/>
    <col min="3" max="3" width="9.6640625" style="5" customWidth="1"/>
    <col min="4" max="4" width="15.5546875" style="5" customWidth="1"/>
    <col min="5" max="5" width="31.109375" style="5" customWidth="1"/>
    <col min="6" max="6" width="10.5546875" style="5" customWidth="1"/>
    <col min="7" max="7" width="7.6640625" style="5" customWidth="1"/>
    <col min="8" max="8" width="6.109375" style="5" customWidth="1"/>
    <col min="9" max="9" width="7" style="5" customWidth="1"/>
    <col min="10" max="12" width="8.6640625" style="5" customWidth="1"/>
    <col min="13" max="13" width="12.6640625" style="5" customWidth="1"/>
    <col min="14" max="14" width="4.6640625" style="5" customWidth="1"/>
    <col min="15" max="16384" width="10.88671875" style="5"/>
  </cols>
  <sheetData>
    <row r="5" spans="2:13">
      <c r="E5" s="288" t="s">
        <v>162</v>
      </c>
      <c r="F5" s="229"/>
      <c r="G5" s="229"/>
      <c r="H5" s="229"/>
      <c r="I5" s="229"/>
      <c r="J5" s="229"/>
      <c r="K5" s="229"/>
      <c r="L5" s="229"/>
      <c r="M5" s="229"/>
    </row>
    <row r="6" spans="2:13">
      <c r="E6" s="229"/>
      <c r="F6" s="229"/>
      <c r="G6" s="229"/>
      <c r="H6" s="229"/>
      <c r="I6" s="229"/>
      <c r="J6" s="229"/>
      <c r="K6" s="229"/>
      <c r="L6" s="229"/>
      <c r="M6" s="229"/>
    </row>
    <row r="7" spans="2:13">
      <c r="E7" s="229"/>
      <c r="F7" s="229"/>
      <c r="G7" s="229"/>
      <c r="H7" s="229"/>
      <c r="I7" s="229"/>
      <c r="J7" s="229"/>
      <c r="K7" s="229"/>
      <c r="L7" s="229"/>
      <c r="M7" s="229"/>
    </row>
    <row r="8" spans="2:13">
      <c r="E8" s="230"/>
      <c r="F8" s="230"/>
      <c r="G8" s="230"/>
      <c r="H8" s="230"/>
      <c r="I8" s="230"/>
      <c r="J8" s="230"/>
      <c r="K8" s="230"/>
      <c r="L8" s="230"/>
      <c r="M8" s="230"/>
    </row>
    <row r="9" spans="2:13" ht="18" customHeight="1">
      <c r="B9" s="316" t="s">
        <v>35</v>
      </c>
      <c r="C9" s="317"/>
      <c r="D9" s="317"/>
      <c r="E9" s="317"/>
      <c r="F9" s="317"/>
      <c r="G9" s="317"/>
      <c r="H9" s="317"/>
      <c r="I9" s="317"/>
      <c r="J9" s="317"/>
      <c r="K9" s="317"/>
      <c r="L9" s="317"/>
      <c r="M9" s="318"/>
    </row>
    <row r="10" spans="2:13" ht="15" customHeight="1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2:13" ht="17.100000000000001" customHeight="1">
      <c r="B11" s="6" t="s">
        <v>36</v>
      </c>
      <c r="C11" s="291" t="str">
        <f>'SEMESTRE N°1'!A27</f>
        <v>MEKEHAN-ME-NGUEMA Emmanuelle Samina</v>
      </c>
      <c r="D11" s="292"/>
      <c r="E11" s="292"/>
      <c r="F11" s="6" t="s">
        <v>37</v>
      </c>
      <c r="G11" s="297" t="str">
        <f>B39</f>
        <v>Licence Pro. Informatique-1ère année Tronc commun</v>
      </c>
      <c r="H11" s="297"/>
      <c r="I11" s="297"/>
      <c r="J11" s="297"/>
      <c r="K11" s="297"/>
      <c r="L11" s="297"/>
    </row>
    <row r="12" spans="2:13" ht="17.100000000000001" customHeight="1">
      <c r="B12" s="246" t="s">
        <v>38</v>
      </c>
      <c r="C12" s="246"/>
      <c r="D12" s="295">
        <f>'SEMESTRE N°1'!B27</f>
        <v>38893</v>
      </c>
      <c r="E12" s="294"/>
      <c r="F12" s="6" t="s">
        <v>29</v>
      </c>
      <c r="G12" s="294" t="str">
        <f>'SEMESTRE N°1'!E27</f>
        <v>TC-1</v>
      </c>
      <c r="H12" s="294"/>
      <c r="I12" s="294"/>
      <c r="J12" s="294"/>
      <c r="K12" s="294"/>
      <c r="L12" s="294"/>
    </row>
    <row r="13" spans="2:13" ht="17.100000000000001" customHeight="1">
      <c r="B13" s="6" t="s">
        <v>39</v>
      </c>
      <c r="C13" s="291" t="str">
        <f>'SEMESTRE N°1'!C27</f>
        <v>Gabonaise</v>
      </c>
      <c r="D13" s="292"/>
      <c r="E13" s="292"/>
      <c r="F13" s="6" t="s">
        <v>40</v>
      </c>
      <c r="G13" s="249"/>
      <c r="H13" s="249"/>
      <c r="I13" s="249"/>
      <c r="J13" s="249"/>
      <c r="K13" s="249"/>
      <c r="L13" s="249"/>
    </row>
    <row r="14" spans="2:13" ht="17.100000000000001" customHeight="1">
      <c r="B14" s="6" t="s">
        <v>41</v>
      </c>
      <c r="C14" s="296" t="str">
        <f>'SEMESTRE N°1'!D27</f>
        <v>192024</v>
      </c>
      <c r="D14" s="297"/>
      <c r="E14" s="297"/>
      <c r="F14" s="6" t="s">
        <v>42</v>
      </c>
      <c r="G14" s="249"/>
      <c r="H14" s="249"/>
      <c r="I14" s="249"/>
      <c r="J14" s="249"/>
      <c r="K14" s="249"/>
      <c r="L14" s="249"/>
    </row>
    <row r="15" spans="2:13">
      <c r="B15" s="281" t="s">
        <v>43</v>
      </c>
      <c r="C15" s="281"/>
      <c r="D15" s="281"/>
      <c r="E15" s="282" t="s">
        <v>17</v>
      </c>
      <c r="F15" s="283"/>
      <c r="G15" s="342" t="s">
        <v>44</v>
      </c>
      <c r="H15" s="343"/>
      <c r="I15" s="343"/>
      <c r="J15" s="343"/>
      <c r="K15" s="343"/>
      <c r="L15" s="343"/>
      <c r="M15" s="344"/>
    </row>
    <row r="16" spans="2:13">
      <c r="B16" s="281"/>
      <c r="C16" s="281"/>
      <c r="D16" s="281"/>
      <c r="E16" s="282"/>
      <c r="F16" s="283"/>
      <c r="G16" s="240" t="s">
        <v>83</v>
      </c>
      <c r="H16" s="240"/>
      <c r="I16" s="240"/>
      <c r="J16" s="379" t="s">
        <v>46</v>
      </c>
      <c r="K16" s="380"/>
      <c r="L16" s="381"/>
      <c r="M16" s="339" t="s">
        <v>47</v>
      </c>
    </row>
    <row r="17" spans="2:13">
      <c r="B17" s="233" t="s">
        <v>48</v>
      </c>
      <c r="C17" s="273" t="s">
        <v>49</v>
      </c>
      <c r="D17" s="273"/>
      <c r="E17" s="272" t="s">
        <v>49</v>
      </c>
      <c r="F17" s="272" t="s">
        <v>50</v>
      </c>
      <c r="G17" s="2" t="s">
        <v>51</v>
      </c>
      <c r="H17" s="272" t="s">
        <v>52</v>
      </c>
      <c r="I17" s="272"/>
      <c r="J17" s="119" t="s">
        <v>51</v>
      </c>
      <c r="K17" s="262" t="s">
        <v>52</v>
      </c>
      <c r="L17" s="337"/>
      <c r="M17" s="340"/>
    </row>
    <row r="18" spans="2:13">
      <c r="B18" s="234"/>
      <c r="C18" s="274"/>
      <c r="D18" s="274"/>
      <c r="E18" s="272"/>
      <c r="F18" s="272"/>
      <c r="G18" s="60" t="s">
        <v>53</v>
      </c>
      <c r="H18" s="60" t="s">
        <v>53</v>
      </c>
      <c r="I18" s="60" t="s">
        <v>50</v>
      </c>
      <c r="J18" s="87" t="s">
        <v>53</v>
      </c>
      <c r="K18" s="87" t="s">
        <v>53</v>
      </c>
      <c r="L18" s="87" t="s">
        <v>50</v>
      </c>
      <c r="M18" s="341"/>
    </row>
    <row r="19" spans="2:13" ht="15" customHeight="1">
      <c r="B19" s="234"/>
      <c r="C19" s="382" t="s">
        <v>54</v>
      </c>
      <c r="D19" s="364" t="s">
        <v>55</v>
      </c>
      <c r="E19" s="120" t="s">
        <v>56</v>
      </c>
      <c r="F19" s="9">
        <v>3</v>
      </c>
      <c r="G19" s="108">
        <f>[1]BULL_N17!G19</f>
        <v>9</v>
      </c>
      <c r="H19" s="358">
        <f>IF(AND(G19&gt;=7, G20&gt;=7), ROUND(((F19*G19) + (F20*G20)) / (F19 + F20), 2), 0)</f>
        <v>10.55</v>
      </c>
      <c r="I19" s="358">
        <f>IF(H19&gt;9.99,(F19+F20),0)</f>
        <v>6</v>
      </c>
      <c r="J19" s="93">
        <f>IF(AND(G19&lt;10, H19&lt;10), 'SEMESTRE N°1'!G27, IF(AND(G19&gt;=10, H19&gt;=10), G19, IF(AND(G19&gt;=10, H19&lt;10), G19, IF(AND(G19&lt;10, H19&gt;=10), G19, ""))))</f>
        <v>9</v>
      </c>
      <c r="K19" s="232">
        <f>IF(AND(J19&gt;=7, J20&gt;=7), ROUND(((F19*J19) + (F20*J20)) / (F19 + F20), 2), 0)</f>
        <v>10.55</v>
      </c>
      <c r="L19" s="232">
        <f>IF(K19&gt;9.99,(F19+F20),0)</f>
        <v>6</v>
      </c>
      <c r="M19" s="263" t="str">
        <f>IF(K19&gt;9.99,"Validé","Non validé")</f>
        <v>Validé</v>
      </c>
    </row>
    <row r="20" spans="2:13" ht="15" customHeight="1">
      <c r="B20" s="234"/>
      <c r="C20" s="382"/>
      <c r="D20" s="365"/>
      <c r="E20" s="120" t="s">
        <v>57</v>
      </c>
      <c r="F20" s="9">
        <v>3</v>
      </c>
      <c r="G20" s="108">
        <f>[1]BULL_N17!G20</f>
        <v>12.1</v>
      </c>
      <c r="H20" s="359"/>
      <c r="I20" s="358"/>
      <c r="J20" s="93">
        <f>IF(AND(G20&lt;10, H19&lt;10), 'SEMESTRE N°1'!J27, IF(AND(G20&gt;=10, H19&gt;=10), G20, IF(AND(G20&gt;=10, H19&lt;10), G20, IF(AND(G20&lt;10, H19&gt;=10), G20, ""))))</f>
        <v>12.1</v>
      </c>
      <c r="K20" s="232"/>
      <c r="L20" s="232"/>
      <c r="M20" s="263"/>
    </row>
    <row r="21" spans="2:13" ht="15" customHeight="1">
      <c r="B21" s="234"/>
      <c r="C21" s="383" t="s">
        <v>58</v>
      </c>
      <c r="D21" s="364" t="s">
        <v>59</v>
      </c>
      <c r="E21" s="120" t="s">
        <v>169</v>
      </c>
      <c r="F21" s="9">
        <v>5</v>
      </c>
      <c r="G21" s="108">
        <f>[1]BULL_N17!G21</f>
        <v>11.4</v>
      </c>
      <c r="H21" s="358">
        <f>IF(AND(G21&gt;=7, G22&gt;=7, G23&gt;=7), ROUND(((F21*G21) + (F22*G22)+ (F23*G23)) / (F21 + F22+F23), 2), 0)</f>
        <v>0</v>
      </c>
      <c r="I21" s="358">
        <f>IF(H21&gt;9.99,(F21+F22+F23),0)</f>
        <v>0</v>
      </c>
      <c r="J21" s="93">
        <f>IF(AND(G21&lt;10, H21&lt;10), 'SEMESTRE N°1'!M27, IF(AND(G21&gt;=10, H21&gt;=10), G21, IF(AND(G21&gt;=10, H21&lt;10), G21, IF(AND(G21&lt;10, H21&gt;=10), G21, ""))))</f>
        <v>11.4</v>
      </c>
      <c r="K21" s="280">
        <f>IF(AND(J21&gt;=7, J22&gt;=7, J23&gt;=7), ROUND(((F21*J21) + (F22*J22)+ (F23*J23)) / (F21 + F22+F23), 2), 0)</f>
        <v>0</v>
      </c>
      <c r="L21" s="236">
        <f>IF(K21&gt;9.99,(F21+F22+F23),0)</f>
        <v>0</v>
      </c>
      <c r="M21" s="251" t="str">
        <f>IF(K21&gt;9.99,"Validé","Non validé")</f>
        <v>Non validé</v>
      </c>
    </row>
    <row r="22" spans="2:13" ht="15" customHeight="1">
      <c r="B22" s="234"/>
      <c r="C22" s="384"/>
      <c r="D22" s="366"/>
      <c r="E22" s="120" t="s">
        <v>61</v>
      </c>
      <c r="F22" s="9">
        <v>3</v>
      </c>
      <c r="G22" s="108">
        <f>[1]BULL_N17!G22</f>
        <v>17.440000000000001</v>
      </c>
      <c r="H22" s="359"/>
      <c r="I22" s="358"/>
      <c r="J22" s="93">
        <f>IF(AND(G22&lt;10, H21&lt;10), 'SEMESTRE N°1'!P27, IF(AND(G22&gt;=10, H21&gt;=10), G22, IF(AND(G22&gt;=10, H21&lt;10), G22, IF(AND(G22&lt;10, H21&gt;=10), G22, ""))))</f>
        <v>17.440000000000001</v>
      </c>
      <c r="K22" s="280"/>
      <c r="L22" s="237"/>
      <c r="M22" s="252"/>
    </row>
    <row r="23" spans="2:13" ht="15" customHeight="1">
      <c r="B23" s="234"/>
      <c r="C23" s="384"/>
      <c r="D23" s="367"/>
      <c r="E23" s="122" t="s">
        <v>62</v>
      </c>
      <c r="F23" s="9">
        <v>3</v>
      </c>
      <c r="G23" s="108">
        <f>[1]BULL_N17!G23</f>
        <v>6.2</v>
      </c>
      <c r="H23" s="359"/>
      <c r="I23" s="358"/>
      <c r="J23" s="90">
        <f>IF(AND(G23&lt;10, H21&lt;10), 'SEMESTRE N°1'!S27, IF(AND(G23&gt;=10, H21&gt;=10), G23, IF(AND(G23&gt;=10, H21&lt;10), G23, IF(AND(G23&lt;10, H21&gt;=10), G23, ""))))</f>
        <v>0</v>
      </c>
      <c r="K23" s="280"/>
      <c r="L23" s="238"/>
      <c r="M23" s="253"/>
    </row>
    <row r="24" spans="2:13" ht="15" customHeight="1">
      <c r="B24" s="234"/>
      <c r="C24" s="384" t="s">
        <v>63</v>
      </c>
      <c r="D24" s="364" t="s">
        <v>64</v>
      </c>
      <c r="E24" s="120" t="s">
        <v>65</v>
      </c>
      <c r="F24" s="9">
        <v>4</v>
      </c>
      <c r="G24" s="108">
        <f>[1]BULL_N17!G24</f>
        <v>13.4</v>
      </c>
      <c r="H24" s="358">
        <f>IF(AND(G24&gt;=7, G25&gt;=7), ROUND(((F24*G24) + (F25*G25)) / (F24 + F25), 2), 0)</f>
        <v>14.3</v>
      </c>
      <c r="I24" s="358">
        <f>IF(H24&gt;9.99,(F24+F25),0)</f>
        <v>8</v>
      </c>
      <c r="J24" s="93">
        <f>IF(AND(G24&lt;10, H24&lt;10), 'SEMESTRE N°1'!V27, IF(AND(G24&gt;=10, H24&gt;=10), G24, IF(AND(G24&gt;=10, H24&lt;10), G24, IF(AND(G24&lt;10, H24&gt;=10), G24, ""))))</f>
        <v>13.4</v>
      </c>
      <c r="K24" s="231">
        <f>IF(AND(J24&gt;=7, J25&gt;=7), ROUND(((F24*J24) + (F25*J25)) / (F24 + F25), 2), 0)</f>
        <v>14.3</v>
      </c>
      <c r="L24" s="231">
        <f>IF(K24&gt;9.99,(F24+F25),0)</f>
        <v>8</v>
      </c>
      <c r="M24" s="254" t="str">
        <f>IF(K24&gt;9.99,"Validé","Non validé")</f>
        <v>Validé</v>
      </c>
    </row>
    <row r="25" spans="2:13" ht="15" customHeight="1">
      <c r="B25" s="234"/>
      <c r="C25" s="384"/>
      <c r="D25" s="365"/>
      <c r="E25" s="120" t="s">
        <v>66</v>
      </c>
      <c r="F25" s="9">
        <v>4</v>
      </c>
      <c r="G25" s="108">
        <f>[1]BULL_N17!G25</f>
        <v>15.2</v>
      </c>
      <c r="H25" s="359"/>
      <c r="I25" s="358"/>
      <c r="J25" s="93">
        <f>IF(AND(G25&lt;10, H24&lt;10), 'SEMESTRE N°1'!Y27, IF(AND(G25&gt;=10, H24&gt;=10), G25, IF(AND(G25&gt;=10, H24&lt;10), G25, IF(AND(G25&lt;10, H24&gt;=10), G25, ""))))</f>
        <v>15.2</v>
      </c>
      <c r="K25" s="299"/>
      <c r="L25" s="299"/>
      <c r="M25" s="255"/>
    </row>
    <row r="26" spans="2:13" ht="15" customHeight="1">
      <c r="B26" s="234"/>
      <c r="C26" s="384" t="s">
        <v>67</v>
      </c>
      <c r="D26" s="378" t="s">
        <v>68</v>
      </c>
      <c r="E26" s="120" t="s">
        <v>69</v>
      </c>
      <c r="F26" s="9">
        <v>2</v>
      </c>
      <c r="G26" s="108">
        <f>[1]BULL_N17!G26</f>
        <v>13.8</v>
      </c>
      <c r="H26" s="358">
        <f>IF(AND(G26&gt;=7, G27&gt;=7), ROUND(((F26*G26) + (F27*G27)) / (F26 + F27), 2), 0)</f>
        <v>16.14</v>
      </c>
      <c r="I26" s="358">
        <f>IF(H26&gt;9.99,(F26+F27),0)</f>
        <v>5</v>
      </c>
      <c r="J26" s="93">
        <f>IF(AND(G26&lt;10, H26&lt;10), 'SEMESTRE N°1'!AB27, IF(AND(G26&gt;=10, H26&gt;=10), G26, IF(AND(G26&gt;=10, H26&lt;10), G26, IF(AND(G26&lt;10, H26&gt;=10), G26, ""))))</f>
        <v>13.8</v>
      </c>
      <c r="K26" s="231">
        <f>IF(AND(J26&gt;=7, J27&gt;=7), ROUND(((F26*J26) + (F27*J27)) / (F26 + F27), 2), 0)</f>
        <v>16.14</v>
      </c>
      <c r="L26" s="231">
        <f>IF(K26&gt;9.99,(F26+F27),0)</f>
        <v>5</v>
      </c>
      <c r="M26" s="254" t="str">
        <f>IF(K26&gt;9.99,"Validé","Non validé")</f>
        <v>Validé</v>
      </c>
    </row>
    <row r="27" spans="2:13" ht="24" customHeight="1">
      <c r="B27" s="234"/>
      <c r="C27" s="384"/>
      <c r="D27" s="365"/>
      <c r="E27" s="120" t="s">
        <v>70</v>
      </c>
      <c r="F27" s="9">
        <v>3</v>
      </c>
      <c r="G27" s="108">
        <f>[1]BULL_N17!G27</f>
        <v>17.7</v>
      </c>
      <c r="H27" s="359"/>
      <c r="I27" s="358"/>
      <c r="J27" s="93">
        <f>IF(AND(G27&lt;10, H26&lt;10), 'SEMESTRE N°1'!AE27, IF(AND(G27&gt;=10, H26&gt;=10), G27, IF(AND(G27&gt;=10, H26&lt;10), G27, IF(AND(G27&lt;10, H26&gt;=10), G27, ""))))</f>
        <v>17.7</v>
      </c>
      <c r="K27" s="299"/>
      <c r="L27" s="232"/>
      <c r="M27" s="255"/>
    </row>
    <row r="28" spans="2:13" ht="17.25" customHeight="1">
      <c r="B28" s="234"/>
      <c r="C28" s="284" t="s">
        <v>71</v>
      </c>
      <c r="D28" s="285"/>
      <c r="E28" s="285"/>
      <c r="F28" s="19">
        <f>F19+F20+F21+F22+F23+F24+F25+F26+F27</f>
        <v>30</v>
      </c>
      <c r="G28" s="109"/>
      <c r="H28" s="117">
        <f>ROUND((H19+H21+H24+H26)/4,2)</f>
        <v>10.25</v>
      </c>
      <c r="I28" s="110">
        <f>I26+I24+I21+I19</f>
        <v>19</v>
      </c>
      <c r="J28" s="91"/>
      <c r="K28" s="111">
        <f>ROUND((K19+K21+K24+K26)/4,2)</f>
        <v>10.25</v>
      </c>
      <c r="L28" s="107">
        <f>SUM(L19:L27)</f>
        <v>19</v>
      </c>
      <c r="M28" s="88"/>
    </row>
    <row r="29" spans="2:13" ht="11.25" customHeight="1">
      <c r="C29" s="11"/>
      <c r="G29" s="11"/>
    </row>
    <row r="30" spans="2:13" ht="18">
      <c r="B30" s="360" t="s">
        <v>72</v>
      </c>
      <c r="C30" s="361"/>
      <c r="D30" s="21">
        <f>L26+L24+L21+L19</f>
        <v>19</v>
      </c>
      <c r="E30" s="12"/>
      <c r="F30" s="13"/>
      <c r="G30" s="14"/>
      <c r="H30" s="15"/>
      <c r="I30" s="15"/>
      <c r="J30" s="330" t="s">
        <v>73</v>
      </c>
      <c r="K30" s="330"/>
      <c r="L30" s="330"/>
      <c r="M30" s="330"/>
    </row>
    <row r="31" spans="2:13">
      <c r="B31" s="360" t="s">
        <v>74</v>
      </c>
      <c r="C31" s="361"/>
      <c r="D31" s="22" t="str">
        <f>IF(D30=F28,"Semestre validé","Semestre non validé")</f>
        <v>Semestre non validé</v>
      </c>
      <c r="E31" s="13"/>
      <c r="F31" s="13"/>
      <c r="G31" s="16"/>
      <c r="L31" s="13"/>
    </row>
    <row r="32" spans="2:13">
      <c r="B32" s="360" t="s">
        <v>75</v>
      </c>
      <c r="C32" s="361"/>
      <c r="D32" s="1">
        <v>0</v>
      </c>
      <c r="E32" s="13"/>
      <c r="F32" s="13"/>
      <c r="G32" s="16"/>
      <c r="H32" s="13"/>
      <c r="I32" s="13"/>
      <c r="J32" s="13"/>
    </row>
    <row r="33" spans="2:13">
      <c r="B33" s="59"/>
      <c r="C33" s="59"/>
      <c r="D33" s="1"/>
      <c r="E33" s="13"/>
      <c r="F33" s="13"/>
      <c r="G33" s="16"/>
      <c r="H33" s="13"/>
      <c r="I33" s="13"/>
      <c r="J33" s="13"/>
    </row>
    <row r="34" spans="2:13">
      <c r="C34" s="16"/>
      <c r="D34" s="13"/>
      <c r="E34" s="13"/>
      <c r="F34" s="13"/>
      <c r="G34" s="16"/>
      <c r="H34" s="13"/>
      <c r="I34" s="13"/>
      <c r="J34" s="13"/>
    </row>
    <row r="35" spans="2:13" ht="18">
      <c r="B35" s="123"/>
      <c r="C35" s="124"/>
      <c r="D35" s="125"/>
      <c r="E35" s="125"/>
      <c r="F35" s="125"/>
      <c r="G35" s="275" t="s">
        <v>76</v>
      </c>
      <c r="H35" s="275"/>
      <c r="I35" s="275"/>
      <c r="J35" s="275"/>
      <c r="K35" s="275"/>
      <c r="L35" s="275"/>
      <c r="M35" s="275"/>
    </row>
    <row r="36" spans="2:13" ht="15" customHeight="1">
      <c r="B36" s="308" t="s">
        <v>77</v>
      </c>
      <c r="C36" s="308"/>
      <c r="D36" s="308"/>
      <c r="E36" s="308"/>
      <c r="F36" s="308"/>
      <c r="G36" s="308"/>
      <c r="H36" s="308"/>
      <c r="I36" s="308"/>
      <c r="J36" s="308"/>
      <c r="K36" s="308"/>
      <c r="L36" s="308"/>
      <c r="M36" s="308"/>
    </row>
    <row r="37" spans="2:13">
      <c r="B37" s="385"/>
      <c r="C37" s="385"/>
      <c r="D37" s="385"/>
      <c r="E37" s="385"/>
      <c r="F37" s="385"/>
      <c r="G37" s="385"/>
      <c r="H37" s="385"/>
      <c r="I37" s="385"/>
      <c r="J37" s="385"/>
      <c r="K37" s="385"/>
      <c r="L37" s="385"/>
      <c r="M37" s="385"/>
    </row>
    <row r="38" spans="2:13" ht="18">
      <c r="G38" s="35"/>
      <c r="H38" s="35"/>
      <c r="I38" s="35"/>
      <c r="J38" s="35"/>
      <c r="K38" s="35"/>
    </row>
    <row r="39" spans="2:13" hidden="1">
      <c r="B39" s="18" t="s">
        <v>78</v>
      </c>
    </row>
  </sheetData>
  <mergeCells count="58">
    <mergeCell ref="E5:M8"/>
    <mergeCell ref="B36:M37"/>
    <mergeCell ref="G35:M35"/>
    <mergeCell ref="C28:E28"/>
    <mergeCell ref="B30:C30"/>
    <mergeCell ref="B31:C31"/>
    <mergeCell ref="B32:C32"/>
    <mergeCell ref="B17:B28"/>
    <mergeCell ref="C17:D18"/>
    <mergeCell ref="E17:E18"/>
    <mergeCell ref="F17:F18"/>
    <mergeCell ref="H17:I17"/>
    <mergeCell ref="M24:M25"/>
    <mergeCell ref="M26:M27"/>
    <mergeCell ref="L26:L27"/>
    <mergeCell ref="C24:C25"/>
    <mergeCell ref="D24:D25"/>
    <mergeCell ref="H24:H25"/>
    <mergeCell ref="I24:I25"/>
    <mergeCell ref="K24:K25"/>
    <mergeCell ref="L24:L25"/>
    <mergeCell ref="C26:C27"/>
    <mergeCell ref="D26:D27"/>
    <mergeCell ref="H26:H27"/>
    <mergeCell ref="I26:I27"/>
    <mergeCell ref="K26:K27"/>
    <mergeCell ref="L21:L23"/>
    <mergeCell ref="C19:C20"/>
    <mergeCell ref="D19:D20"/>
    <mergeCell ref="H19:H20"/>
    <mergeCell ref="I19:I20"/>
    <mergeCell ref="K19:K20"/>
    <mergeCell ref="C21:C23"/>
    <mergeCell ref="D21:D23"/>
    <mergeCell ref="H21:H23"/>
    <mergeCell ref="I21:I23"/>
    <mergeCell ref="K21:K23"/>
    <mergeCell ref="E15:F16"/>
    <mergeCell ref="G16:I16"/>
    <mergeCell ref="G15:M15"/>
    <mergeCell ref="L19:L20"/>
    <mergeCell ref="K17:L17"/>
    <mergeCell ref="B9:M9"/>
    <mergeCell ref="J30:M30"/>
    <mergeCell ref="J16:L16"/>
    <mergeCell ref="M16:M18"/>
    <mergeCell ref="M19:M20"/>
    <mergeCell ref="M21:M23"/>
    <mergeCell ref="C11:E11"/>
    <mergeCell ref="G11:L11"/>
    <mergeCell ref="B12:C12"/>
    <mergeCell ref="D12:E12"/>
    <mergeCell ref="G12:L12"/>
    <mergeCell ref="C13:E13"/>
    <mergeCell ref="G13:L13"/>
    <mergeCell ref="C14:E14"/>
    <mergeCell ref="G14:L14"/>
    <mergeCell ref="B15:D16"/>
  </mergeCells>
  <pageMargins left="0" right="0" top="0" bottom="0" header="0" footer="0"/>
  <pageSetup paperSize="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2B1EF-2934-42CD-8E72-A858A76107E5}">
  <sheetPr codeName="Feuil20">
    <tabColor rgb="FF7030A0"/>
  </sheetPr>
  <dimension ref="B5:M39"/>
  <sheetViews>
    <sheetView showGridLines="0" view="pageLayout" topLeftCell="A16" zoomScale="112" zoomScaleNormal="100" zoomScalePageLayoutView="112" workbookViewId="0">
      <selection activeCell="M28" sqref="M28"/>
    </sheetView>
  </sheetViews>
  <sheetFormatPr baseColWidth="10" defaultColWidth="10.88671875" defaultRowHeight="14.4"/>
  <cols>
    <col min="1" max="1" width="4.6640625" style="5" customWidth="1"/>
    <col min="2" max="2" width="10.33203125" style="5" customWidth="1"/>
    <col min="3" max="3" width="11.109375" style="5" customWidth="1"/>
    <col min="4" max="4" width="15.44140625" style="5" customWidth="1"/>
    <col min="5" max="5" width="31.109375" style="5" customWidth="1"/>
    <col min="6" max="6" width="10.6640625" style="5" customWidth="1"/>
    <col min="7" max="7" width="7.6640625" style="5" customWidth="1"/>
    <col min="8" max="8" width="7.109375" style="5" customWidth="1"/>
    <col min="9" max="9" width="6.88671875" style="5" customWidth="1"/>
    <col min="10" max="12" width="8.6640625" style="5" customWidth="1"/>
    <col min="13" max="13" width="12.6640625" style="5" customWidth="1"/>
    <col min="14" max="14" width="4.6640625" style="5" customWidth="1"/>
    <col min="15" max="16384" width="10.88671875" style="5"/>
  </cols>
  <sheetData>
    <row r="5" spans="2:13">
      <c r="E5" s="288" t="s">
        <v>162</v>
      </c>
      <c r="F5" s="229"/>
      <c r="G5" s="229"/>
      <c r="H5" s="229"/>
      <c r="I5" s="229"/>
      <c r="J5" s="229"/>
      <c r="K5" s="229"/>
      <c r="L5" s="229"/>
      <c r="M5" s="229"/>
    </row>
    <row r="6" spans="2:13">
      <c r="E6" s="229"/>
      <c r="F6" s="229"/>
      <c r="G6" s="229"/>
      <c r="H6" s="229"/>
      <c r="I6" s="229"/>
      <c r="J6" s="229"/>
      <c r="K6" s="229"/>
      <c r="L6" s="229"/>
      <c r="M6" s="229"/>
    </row>
    <row r="7" spans="2:13">
      <c r="E7" s="229"/>
      <c r="F7" s="229"/>
      <c r="G7" s="229"/>
      <c r="H7" s="229"/>
      <c r="I7" s="229"/>
      <c r="J7" s="229"/>
      <c r="K7" s="229"/>
      <c r="L7" s="229"/>
      <c r="M7" s="229"/>
    </row>
    <row r="8" spans="2:13">
      <c r="E8" s="230"/>
      <c r="F8" s="230"/>
      <c r="G8" s="230"/>
      <c r="H8" s="230"/>
      <c r="I8" s="230"/>
      <c r="J8" s="230"/>
      <c r="K8" s="230"/>
      <c r="L8" s="230"/>
      <c r="M8" s="230"/>
    </row>
    <row r="9" spans="2:13" ht="18" customHeight="1">
      <c r="B9" s="316" t="s">
        <v>35</v>
      </c>
      <c r="C9" s="317"/>
      <c r="D9" s="317"/>
      <c r="E9" s="317"/>
      <c r="F9" s="317"/>
      <c r="G9" s="317"/>
      <c r="H9" s="317"/>
      <c r="I9" s="317"/>
      <c r="J9" s="317"/>
      <c r="K9" s="317"/>
      <c r="L9" s="317"/>
      <c r="M9" s="318"/>
    </row>
    <row r="10" spans="2:13" ht="12" customHeight="1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2:13" ht="17.100000000000001" customHeight="1">
      <c r="B11" s="6" t="s">
        <v>36</v>
      </c>
      <c r="C11" s="291" t="str">
        <f>'SEMESTRE N°1'!A28</f>
        <v>MOUSSAVOU MBADINGA Glen Jordy</v>
      </c>
      <c r="D11" s="292"/>
      <c r="E11" s="292"/>
      <c r="F11" s="6" t="s">
        <v>37</v>
      </c>
      <c r="G11" s="297" t="str">
        <f>B39</f>
        <v>Licence Pro. Informatique-1ère année Tronc commun</v>
      </c>
      <c r="H11" s="297"/>
      <c r="I11" s="297"/>
      <c r="J11" s="297"/>
      <c r="K11" s="297"/>
      <c r="L11" s="297"/>
    </row>
    <row r="12" spans="2:13" ht="17.100000000000001" customHeight="1">
      <c r="B12" s="246" t="s">
        <v>38</v>
      </c>
      <c r="C12" s="246"/>
      <c r="D12" s="295">
        <f>'SEMESTRE N°1'!B28</f>
        <v>35857</v>
      </c>
      <c r="E12" s="294"/>
      <c r="F12" s="6" t="s">
        <v>29</v>
      </c>
      <c r="G12" s="294" t="str">
        <f>'SEMESTRE N°1'!E28</f>
        <v>TC-1</v>
      </c>
      <c r="H12" s="294"/>
      <c r="I12" s="294"/>
      <c r="J12" s="294"/>
      <c r="K12" s="294"/>
      <c r="L12" s="294"/>
    </row>
    <row r="13" spans="2:13" ht="17.100000000000001" customHeight="1">
      <c r="B13" s="6" t="s">
        <v>39</v>
      </c>
      <c r="C13" s="291" t="str">
        <f>'SEMESTRE N°1'!C28</f>
        <v>Gabonaise</v>
      </c>
      <c r="D13" s="292"/>
      <c r="E13" s="292"/>
      <c r="F13" s="6" t="s">
        <v>40</v>
      </c>
      <c r="G13" s="249"/>
      <c r="H13" s="249"/>
      <c r="I13" s="249"/>
      <c r="J13" s="249"/>
      <c r="K13" s="249"/>
      <c r="L13" s="249"/>
    </row>
    <row r="14" spans="2:13" ht="17.100000000000001" customHeight="1">
      <c r="B14" s="6" t="s">
        <v>41</v>
      </c>
      <c r="C14" s="305" t="str">
        <f>'SEMESTRE N°1'!D28</f>
        <v>202024</v>
      </c>
      <c r="D14" s="294"/>
      <c r="E14" s="294"/>
      <c r="F14" s="6" t="s">
        <v>42</v>
      </c>
      <c r="G14" s="249"/>
      <c r="H14" s="249"/>
      <c r="I14" s="249"/>
      <c r="J14" s="249"/>
      <c r="K14" s="249"/>
      <c r="L14" s="249"/>
    </row>
    <row r="15" spans="2:13">
      <c r="B15" s="281" t="s">
        <v>43</v>
      </c>
      <c r="C15" s="281"/>
      <c r="D15" s="281"/>
      <c r="E15" s="282" t="s">
        <v>17</v>
      </c>
      <c r="F15" s="371"/>
      <c r="G15" s="342" t="s">
        <v>44</v>
      </c>
      <c r="H15" s="343"/>
      <c r="I15" s="343"/>
      <c r="J15" s="343"/>
      <c r="K15" s="343"/>
      <c r="L15" s="343"/>
      <c r="M15" s="344"/>
    </row>
    <row r="16" spans="2:13">
      <c r="B16" s="281"/>
      <c r="C16" s="281"/>
      <c r="D16" s="281"/>
      <c r="E16" s="282"/>
      <c r="F16" s="283"/>
      <c r="G16" s="372" t="s">
        <v>83</v>
      </c>
      <c r="H16" s="372"/>
      <c r="I16" s="372"/>
      <c r="J16" s="379" t="s">
        <v>46</v>
      </c>
      <c r="K16" s="380"/>
      <c r="L16" s="381"/>
      <c r="M16" s="374" t="s">
        <v>47</v>
      </c>
    </row>
    <row r="17" spans="2:13">
      <c r="B17" s="233" t="s">
        <v>48</v>
      </c>
      <c r="C17" s="273" t="s">
        <v>49</v>
      </c>
      <c r="D17" s="273"/>
      <c r="E17" s="272" t="s">
        <v>49</v>
      </c>
      <c r="F17" s="272" t="s">
        <v>50</v>
      </c>
      <c r="G17" s="2" t="s">
        <v>51</v>
      </c>
      <c r="H17" s="272" t="s">
        <v>52</v>
      </c>
      <c r="I17" s="272"/>
      <c r="J17" s="119" t="s">
        <v>51</v>
      </c>
      <c r="K17" s="262" t="s">
        <v>52</v>
      </c>
      <c r="L17" s="337"/>
      <c r="M17" s="340"/>
    </row>
    <row r="18" spans="2:13">
      <c r="B18" s="234"/>
      <c r="C18" s="272"/>
      <c r="D18" s="274"/>
      <c r="E18" s="272"/>
      <c r="F18" s="272"/>
      <c r="G18" s="60" t="s">
        <v>53</v>
      </c>
      <c r="H18" s="60" t="s">
        <v>53</v>
      </c>
      <c r="I18" s="60" t="s">
        <v>50</v>
      </c>
      <c r="J18" s="87" t="s">
        <v>53</v>
      </c>
      <c r="K18" s="87" t="s">
        <v>53</v>
      </c>
      <c r="L18" s="87" t="s">
        <v>50</v>
      </c>
      <c r="M18" s="341"/>
    </row>
    <row r="19" spans="2:13" ht="15" customHeight="1">
      <c r="B19" s="234"/>
      <c r="C19" s="363" t="s">
        <v>54</v>
      </c>
      <c r="D19" s="364" t="s">
        <v>55</v>
      </c>
      <c r="E19" s="120" t="s">
        <v>56</v>
      </c>
      <c r="F19" s="9">
        <v>3</v>
      </c>
      <c r="G19" s="103">
        <f>[1]BULL_N18!G19</f>
        <v>8.8000000000000007</v>
      </c>
      <c r="H19" s="386">
        <f>IF(AND(G19&gt;=7, G20&gt;=7), ROUND(((F19*G19) + (F20*G20)) / (F19 + F20), 2), 0)</f>
        <v>0</v>
      </c>
      <c r="I19" s="386">
        <f>IF(H19&gt;9.99,(F19+F20),0)</f>
        <v>0</v>
      </c>
      <c r="J19" s="165">
        <f>IF(AND(G19&lt;10, H19&lt;10), 'SEMESTRE N°1'!G28, IF(AND(G19&gt;=10, H19&gt;=10), G19, IF(AND(G19&gt;=10, H19&lt;10), G19, IF(AND(G19&lt;10, H19&gt;=10), G19, ""))))</f>
        <v>8.5</v>
      </c>
      <c r="K19" s="293">
        <f>IF(AND(J19&gt;=7, J20&gt;=7), ROUND(((F19*J19) + (F20*J20)) / (F19 + F20), 2), 0)</f>
        <v>10.25</v>
      </c>
      <c r="L19" s="293">
        <f>IF(K19&gt;9.99,(F19+F20),0)</f>
        <v>6</v>
      </c>
      <c r="M19" s="263" t="str">
        <f>IF(K19&gt;9.99,"Validé","Non validé")</f>
        <v>Validé</v>
      </c>
    </row>
    <row r="20" spans="2:13" ht="15" customHeight="1">
      <c r="B20" s="234"/>
      <c r="C20" s="363"/>
      <c r="D20" s="367"/>
      <c r="E20" s="120" t="s">
        <v>57</v>
      </c>
      <c r="F20" s="9">
        <v>3</v>
      </c>
      <c r="G20" s="103">
        <f>[1]BULL_N18!G20</f>
        <v>2.8520000000000003</v>
      </c>
      <c r="H20" s="315"/>
      <c r="I20" s="386"/>
      <c r="J20" s="165">
        <f>IF(AND(G20&lt;10, H19&lt;10), 'SEMESTRE N°1'!J28, IF(AND(G20&gt;=10, H19&gt;=10), G20, IF(AND(G20&gt;=10, H19&lt;10), G20, IF(AND(G20&lt;10, H19&gt;=10), G20, ""))))</f>
        <v>12</v>
      </c>
      <c r="K20" s="293"/>
      <c r="L20" s="293"/>
      <c r="M20" s="263"/>
    </row>
    <row r="21" spans="2:13" ht="15" customHeight="1">
      <c r="B21" s="234"/>
      <c r="C21" s="363" t="s">
        <v>58</v>
      </c>
      <c r="D21" s="364" t="s">
        <v>59</v>
      </c>
      <c r="E21" s="120" t="s">
        <v>169</v>
      </c>
      <c r="F21" s="9">
        <v>5</v>
      </c>
      <c r="G21" s="103">
        <f>[1]BULL_N18!G21</f>
        <v>3.5999999999999996</v>
      </c>
      <c r="H21" s="386">
        <f>IF(AND(G21&gt;=7, G22&gt;=7, G23&gt;=7), ROUND(((F21*G21) + (F22*G22)+ (F23*G23)) / (F21 + F22+F23), 2), 0)</f>
        <v>0</v>
      </c>
      <c r="I21" s="386">
        <f>IF(H21&gt;9.99,(F21+F22+F23),0)</f>
        <v>0</v>
      </c>
      <c r="J21" s="159">
        <f>IF(AND(G21&lt;10, H21&lt;10), 'SEMESTRE N°1'!M28, IF(AND(G21&gt;=10, H21&gt;=10), G21, IF(AND(G21&gt;=10, H21&lt;10), G21, IF(AND(G21&lt;10, H21&gt;=10), G21, ""))))</f>
        <v>10</v>
      </c>
      <c r="K21" s="326">
        <f>IF(AND(J21&gt;=7, J22&gt;=7, J23&gt;=7), ROUND(((F21*J21) + (F22*J22)+ (F23*J23)) / (F21 + F22+F23), 2), 0)</f>
        <v>10</v>
      </c>
      <c r="L21" s="323">
        <f>IF(K21&gt;9.99,(F21+F22+F23),0)</f>
        <v>11</v>
      </c>
      <c r="M21" s="251" t="str">
        <f>IF(K21&gt;9.99,"Validé","Non validé")</f>
        <v>Validé</v>
      </c>
    </row>
    <row r="22" spans="2:13" ht="15" customHeight="1">
      <c r="B22" s="234"/>
      <c r="C22" s="363"/>
      <c r="D22" s="366"/>
      <c r="E22" s="120" t="s">
        <v>61</v>
      </c>
      <c r="F22" s="9">
        <v>3</v>
      </c>
      <c r="G22" s="103">
        <f>[1]BULL_N18!G22</f>
        <v>7.4899999999999993</v>
      </c>
      <c r="H22" s="315"/>
      <c r="I22" s="386"/>
      <c r="J22" s="165">
        <f>IF(AND(G22&lt;10, H21&lt;10), 'SEMESTRE N°1'!P28, IF(AND(G22&gt;=10, H21&gt;=10), G22, IF(AND(G22&gt;=10, H21&lt;10), G22, IF(AND(G22&lt;10, H21&gt;=10), G22, ""))))</f>
        <v>9</v>
      </c>
      <c r="K22" s="326"/>
      <c r="L22" s="324"/>
      <c r="M22" s="252"/>
    </row>
    <row r="23" spans="2:13" ht="15" customHeight="1">
      <c r="B23" s="234"/>
      <c r="C23" s="363"/>
      <c r="D23" s="365"/>
      <c r="E23" s="120" t="s">
        <v>62</v>
      </c>
      <c r="F23" s="9">
        <v>3</v>
      </c>
      <c r="G23" s="103">
        <f>[1]BULL_N18!G23</f>
        <v>3.2</v>
      </c>
      <c r="H23" s="315"/>
      <c r="I23" s="386"/>
      <c r="J23" s="165">
        <f>IF(AND(G23&lt;10, H22&lt;10), 'SEMESTRE N°1'!R19, IF(AND(G23&gt;=10, H22&gt;=10), G23, IF(AND(G23&gt;=10, H22&lt;10), G23, IF(AND(G23&lt;10, H22&gt;=10), G23, ""))))</f>
        <v>11</v>
      </c>
      <c r="K23" s="326"/>
      <c r="L23" s="325"/>
      <c r="M23" s="253"/>
    </row>
    <row r="24" spans="2:13" ht="15" customHeight="1">
      <c r="B24" s="234"/>
      <c r="C24" s="363" t="s">
        <v>63</v>
      </c>
      <c r="D24" s="364" t="s">
        <v>64</v>
      </c>
      <c r="E24" s="120" t="s">
        <v>65</v>
      </c>
      <c r="F24" s="9">
        <v>4</v>
      </c>
      <c r="G24" s="103">
        <f>[1]BULL_N18!G24</f>
        <v>0.3</v>
      </c>
      <c r="H24" s="386">
        <f>IF(AND(G24&gt;=7, G25&gt;=7), ROUND(((F24*G24) + (F25*G25)) / (F24 + F25), 2), 0)</f>
        <v>0</v>
      </c>
      <c r="I24" s="386">
        <f>IF(H24&gt;9.99,(F24+F25),0)</f>
        <v>0</v>
      </c>
      <c r="J24" s="165">
        <f>IF(AND(G24&lt;10, H24&lt;10), 'SEMESTRE N°1'!V28, IF(AND(G24&gt;=10, H24&gt;=10), G24, IF(AND(G24&gt;=10, H24&lt;10), G24, IF(AND(G24&lt;10, H24&gt;=10), G24, ""))))</f>
        <v>17</v>
      </c>
      <c r="K24" s="348">
        <f>IF(AND(J24&gt;=7, J25&gt;=7), ROUND(((F24*J24) + (F25*J25)) / (F24 + F25), 2), 0)</f>
        <v>13.5</v>
      </c>
      <c r="L24" s="348">
        <f>IF(K24&gt;9.99,(F24+F25),0)</f>
        <v>8</v>
      </c>
      <c r="M24" s="254" t="str">
        <f>IF(K24&gt;9.99,"Validé","Non validé")</f>
        <v>Validé</v>
      </c>
    </row>
    <row r="25" spans="2:13" ht="15" customHeight="1">
      <c r="B25" s="234"/>
      <c r="C25" s="363"/>
      <c r="D25" s="365"/>
      <c r="E25" s="120" t="s">
        <v>66</v>
      </c>
      <c r="F25" s="9">
        <v>4</v>
      </c>
      <c r="G25" s="103">
        <f>[1]BULL_N18!G25</f>
        <v>6.6000000000000005</v>
      </c>
      <c r="H25" s="315"/>
      <c r="I25" s="386"/>
      <c r="J25" s="165">
        <f>IF(AND(G25&lt;10, H24&lt;10), 'SEMESTRE N°1'!Y28, IF(AND(G25&gt;=10, H24&gt;=10), G25, IF(AND(G25&gt;=10, H24&lt;10), G25, IF(AND(G25&lt;10, H24&gt;=10), G25, ""))))</f>
        <v>10</v>
      </c>
      <c r="K25" s="349"/>
      <c r="L25" s="349"/>
      <c r="M25" s="255"/>
    </row>
    <row r="26" spans="2:13" ht="15" customHeight="1">
      <c r="B26" s="234"/>
      <c r="C26" s="363" t="s">
        <v>67</v>
      </c>
      <c r="D26" s="378" t="s">
        <v>68</v>
      </c>
      <c r="E26" s="120" t="s">
        <v>69</v>
      </c>
      <c r="F26" s="9">
        <v>2</v>
      </c>
      <c r="G26" s="103">
        <f>[1]BULL_N18!G26</f>
        <v>9.1999999999999993</v>
      </c>
      <c r="H26" s="386">
        <f>IF(AND(G26&gt;=7, G27&gt;=7), ROUND(((F26*G26) + (F27*G27)) / (F26 + F27), 2), 0)</f>
        <v>10.220000000000001</v>
      </c>
      <c r="I26" s="386">
        <f>IF(H26&gt;9.99,(F26+F27),0)</f>
        <v>5</v>
      </c>
      <c r="J26" s="159">
        <f>IF(AND(G26&lt;10, H26&lt;10), 'SEMESTRE N°1'!AB28, IF(AND(G26&gt;=10, H26&gt;=10), G26, IF(AND(G26&gt;=10, H26&lt;10), G26, IF(AND(G26&lt;10, H26&gt;=10), G26, ""))))</f>
        <v>9.1999999999999993</v>
      </c>
      <c r="K26" s="270">
        <f>IF(AND(J26&gt;=7, J27&gt;=7), ROUND(((F26*J26) + (F27*J27)) / (F26 + F27), 2), 0)</f>
        <v>10.220000000000001</v>
      </c>
      <c r="L26" s="270">
        <f>IF(K26&gt;9.99,(F26+F27),0)</f>
        <v>5</v>
      </c>
      <c r="M26" s="254" t="str">
        <f>IF(K26&gt;9.99,"Validé","Non validé")</f>
        <v>Validé</v>
      </c>
    </row>
    <row r="27" spans="2:13" ht="22.5" customHeight="1">
      <c r="B27" s="234"/>
      <c r="C27" s="363"/>
      <c r="D27" s="365"/>
      <c r="E27" s="120" t="s">
        <v>70</v>
      </c>
      <c r="F27" s="9">
        <v>3</v>
      </c>
      <c r="G27" s="103">
        <f>[1]BULL_N18!G27</f>
        <v>10.9</v>
      </c>
      <c r="H27" s="315"/>
      <c r="I27" s="386"/>
      <c r="J27" s="159">
        <f>IF(AND(G27&lt;10, H26&lt;10), 'SEMESTRE N°1'!AE28, IF(AND(G27&gt;=10, H26&gt;=10), G27, IF(AND(G27&gt;=10, H26&lt;10), G27, IF(AND(G27&lt;10, H26&gt;=10), G27, ""))))</f>
        <v>10.9</v>
      </c>
      <c r="K27" s="271"/>
      <c r="L27" s="322"/>
      <c r="M27" s="255"/>
    </row>
    <row r="28" spans="2:13" ht="18.899999999999999" customHeight="1">
      <c r="B28" s="234"/>
      <c r="C28" s="284" t="s">
        <v>71</v>
      </c>
      <c r="D28" s="285"/>
      <c r="E28" s="284"/>
      <c r="F28" s="19">
        <f>F19+F20+F21+F22+F23+F24+F25+F26+F27</f>
        <v>30</v>
      </c>
      <c r="G28" s="104"/>
      <c r="H28" s="112">
        <f>ROUND((H19+H21+H24+H26)/4,2)</f>
        <v>2.56</v>
      </c>
      <c r="I28" s="105">
        <f>I26+I24+I21+I19</f>
        <v>5</v>
      </c>
      <c r="J28" s="91"/>
      <c r="K28" s="111">
        <f>ROUND((K19+K21+K24+K26)/4,2)</f>
        <v>10.99</v>
      </c>
      <c r="L28" s="164">
        <f>SUM(L19:L27)</f>
        <v>30</v>
      </c>
      <c r="M28" s="88"/>
    </row>
    <row r="29" spans="2:13" ht="17.100000000000001" customHeight="1">
      <c r="C29" s="11"/>
      <c r="G29" s="11"/>
    </row>
    <row r="30" spans="2:13" ht="17.100000000000001" customHeight="1">
      <c r="B30" s="266" t="s">
        <v>72</v>
      </c>
      <c r="C30" s="267"/>
      <c r="D30" s="21">
        <f>L28</f>
        <v>30</v>
      </c>
      <c r="E30" s="12"/>
      <c r="F30" s="13"/>
      <c r="G30" s="14"/>
      <c r="H30" s="15"/>
      <c r="I30" s="15"/>
      <c r="J30" s="330" t="s">
        <v>73</v>
      </c>
      <c r="K30" s="330"/>
      <c r="L30" s="330"/>
      <c r="M30" s="330"/>
    </row>
    <row r="31" spans="2:13" ht="17.100000000000001" customHeight="1">
      <c r="B31" s="266" t="s">
        <v>74</v>
      </c>
      <c r="C31" s="267"/>
      <c r="D31" s="22" t="str">
        <f>IF(D30=F28,"Semestre validé","Semestre non validé")</f>
        <v>Semestre validé</v>
      </c>
      <c r="E31" s="13"/>
      <c r="F31" s="13"/>
      <c r="G31" s="16"/>
      <c r="H31" s="36"/>
      <c r="I31" s="36"/>
      <c r="J31" s="36"/>
      <c r="K31" s="36"/>
      <c r="L31" s="13"/>
    </row>
    <row r="32" spans="2:13" ht="17.100000000000001" customHeight="1">
      <c r="B32" s="266" t="s">
        <v>75</v>
      </c>
      <c r="C32" s="267"/>
      <c r="D32" s="1">
        <v>0</v>
      </c>
      <c r="E32" s="13"/>
      <c r="F32" s="13"/>
      <c r="G32" s="16"/>
      <c r="H32" s="13"/>
      <c r="I32" s="13"/>
      <c r="J32" s="13"/>
    </row>
    <row r="33" spans="2:13" ht="17.100000000000001" customHeight="1">
      <c r="B33" s="113"/>
      <c r="C33" s="113"/>
      <c r="D33" s="1"/>
      <c r="E33" s="13"/>
      <c r="F33" s="13"/>
      <c r="G33" s="16"/>
      <c r="H33" s="13"/>
      <c r="I33" s="13"/>
      <c r="J33" s="13"/>
    </row>
    <row r="34" spans="2:13" ht="14.25" customHeight="1">
      <c r="B34" s="59"/>
      <c r="C34" s="59"/>
      <c r="D34" s="1"/>
      <c r="E34" s="13"/>
      <c r="F34" s="13"/>
      <c r="G34" s="16"/>
      <c r="H34" s="13"/>
      <c r="I34" s="13"/>
      <c r="J34" s="13"/>
    </row>
    <row r="35" spans="2:13" ht="16.5" customHeight="1">
      <c r="B35" s="123"/>
      <c r="C35" s="124"/>
      <c r="D35" s="125"/>
      <c r="E35" s="125"/>
      <c r="F35" s="125"/>
      <c r="G35" s="275" t="s">
        <v>76</v>
      </c>
      <c r="H35" s="387"/>
      <c r="I35" s="387"/>
      <c r="J35" s="387"/>
      <c r="K35" s="387"/>
      <c r="L35" s="387"/>
      <c r="M35" s="387"/>
    </row>
    <row r="36" spans="2:13" ht="14.4" customHeight="1">
      <c r="B36" s="308" t="s">
        <v>77</v>
      </c>
      <c r="C36" s="308"/>
      <c r="D36" s="308"/>
      <c r="E36" s="308"/>
      <c r="F36" s="308"/>
      <c r="G36" s="308"/>
      <c r="H36" s="308"/>
      <c r="I36" s="308"/>
      <c r="J36" s="308"/>
      <c r="K36" s="308"/>
      <c r="L36" s="308"/>
      <c r="M36" s="308"/>
    </row>
    <row r="37" spans="2:13" ht="16.5" customHeight="1">
      <c r="B37" s="308"/>
      <c r="C37" s="308"/>
      <c r="D37" s="308"/>
      <c r="E37" s="308"/>
      <c r="F37" s="308"/>
      <c r="G37" s="308"/>
      <c r="H37" s="308"/>
      <c r="I37" s="308"/>
      <c r="J37" s="308"/>
      <c r="K37" s="308"/>
      <c r="L37" s="308"/>
      <c r="M37" s="308"/>
    </row>
    <row r="38" spans="2:13" ht="14.4" customHeight="1">
      <c r="G38" s="35"/>
      <c r="H38" s="35"/>
      <c r="I38" s="35"/>
      <c r="J38" s="35"/>
      <c r="K38" s="35"/>
      <c r="L38" s="35"/>
    </row>
    <row r="39" spans="2:13" hidden="1">
      <c r="B39" s="18" t="s">
        <v>78</v>
      </c>
    </row>
  </sheetData>
  <mergeCells count="58">
    <mergeCell ref="M24:M25"/>
    <mergeCell ref="M26:M27"/>
    <mergeCell ref="G15:M15"/>
    <mergeCell ref="B9:M9"/>
    <mergeCell ref="B36:M37"/>
    <mergeCell ref="J16:L16"/>
    <mergeCell ref="M16:M18"/>
    <mergeCell ref="M19:M20"/>
    <mergeCell ref="M21:M23"/>
    <mergeCell ref="B30:C30"/>
    <mergeCell ref="B31:C31"/>
    <mergeCell ref="B32:C32"/>
    <mergeCell ref="G35:M35"/>
    <mergeCell ref="C28:E28"/>
    <mergeCell ref="L26:L27"/>
    <mergeCell ref="L24:L25"/>
    <mergeCell ref="C26:C27"/>
    <mergeCell ref="D26:D27"/>
    <mergeCell ref="H26:H27"/>
    <mergeCell ref="I26:I27"/>
    <mergeCell ref="K26:K27"/>
    <mergeCell ref="C24:C25"/>
    <mergeCell ref="D24:D25"/>
    <mergeCell ref="H24:H25"/>
    <mergeCell ref="I24:I25"/>
    <mergeCell ref="K24:K25"/>
    <mergeCell ref="B15:D16"/>
    <mergeCell ref="E15:F16"/>
    <mergeCell ref="G16:I16"/>
    <mergeCell ref="L21:L23"/>
    <mergeCell ref="C19:C20"/>
    <mergeCell ref="D19:D20"/>
    <mergeCell ref="H19:H20"/>
    <mergeCell ref="I19:I20"/>
    <mergeCell ref="K19:K20"/>
    <mergeCell ref="C21:C23"/>
    <mergeCell ref="D21:D23"/>
    <mergeCell ref="H21:H23"/>
    <mergeCell ref="I21:I23"/>
    <mergeCell ref="K21:K23"/>
    <mergeCell ref="L19:L20"/>
    <mergeCell ref="K17:L17"/>
    <mergeCell ref="E5:M8"/>
    <mergeCell ref="J30:M30"/>
    <mergeCell ref="C11:E11"/>
    <mergeCell ref="G11:L11"/>
    <mergeCell ref="B12:C12"/>
    <mergeCell ref="D12:E12"/>
    <mergeCell ref="G12:L12"/>
    <mergeCell ref="B17:B28"/>
    <mergeCell ref="C17:D18"/>
    <mergeCell ref="E17:E18"/>
    <mergeCell ref="F17:F18"/>
    <mergeCell ref="H17:I17"/>
    <mergeCell ref="C13:E13"/>
    <mergeCell ref="G13:L13"/>
    <mergeCell ref="C14:E14"/>
    <mergeCell ref="G14:L14"/>
  </mergeCells>
  <pageMargins left="0" right="0" top="0" bottom="0" header="0" footer="0"/>
  <pageSetup paperSize="9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73382-E756-4C3E-A9DA-C4E867031FDC}">
  <sheetPr codeName="Feuil21">
    <tabColor rgb="FF7030A0"/>
  </sheetPr>
  <dimension ref="B9:M38"/>
  <sheetViews>
    <sheetView showGridLines="0" topLeftCell="A10" zoomScaleNormal="100" workbookViewId="0">
      <selection activeCell="C11" sqref="C11:E11"/>
    </sheetView>
  </sheetViews>
  <sheetFormatPr baseColWidth="10" defaultColWidth="10.88671875" defaultRowHeight="14.4"/>
  <cols>
    <col min="1" max="1" width="4.6640625" style="5" customWidth="1"/>
    <col min="2" max="2" width="10.88671875" style="5"/>
    <col min="3" max="3" width="10.109375" style="5" customWidth="1"/>
    <col min="4" max="4" width="14.88671875" style="5" customWidth="1"/>
    <col min="5" max="5" width="31.109375" style="5" customWidth="1"/>
    <col min="6" max="6" width="10.6640625" style="5" customWidth="1"/>
    <col min="7" max="7" width="7.6640625" style="5" customWidth="1"/>
    <col min="8" max="8" width="6.88671875" style="5" customWidth="1"/>
    <col min="9" max="9" width="7.88671875" style="5" customWidth="1"/>
    <col min="10" max="10" width="7.33203125" style="5" customWidth="1"/>
    <col min="11" max="11" width="7.44140625" style="5" customWidth="1"/>
    <col min="12" max="12" width="8.44140625" style="5" customWidth="1"/>
    <col min="13" max="13" width="10.6640625" style="5" customWidth="1"/>
    <col min="14" max="14" width="4.6640625" style="5" customWidth="1"/>
    <col min="15" max="16384" width="10.88671875" style="5"/>
  </cols>
  <sheetData>
    <row r="9" spans="2:13" ht="18" customHeight="1">
      <c r="B9" s="389" t="s">
        <v>35</v>
      </c>
      <c r="C9" s="390"/>
      <c r="D9" s="390"/>
      <c r="E9" s="390"/>
      <c r="F9" s="390"/>
      <c r="G9" s="390"/>
      <c r="H9" s="390"/>
      <c r="I9" s="390"/>
      <c r="J9" s="390"/>
      <c r="K9" s="390"/>
      <c r="L9" s="390"/>
      <c r="M9" s="390"/>
    </row>
    <row r="10" spans="2:13" s="13" customFormat="1" ht="18" customHeight="1"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</row>
    <row r="11" spans="2:13" ht="17.100000000000001" customHeight="1">
      <c r="B11" s="6" t="s">
        <v>36</v>
      </c>
      <c r="C11" s="291" t="str">
        <f>'SEMESTRE N°1'!A29</f>
        <v>NGOMA BOUANGA Ray Meschak</v>
      </c>
      <c r="D11" s="292"/>
      <c r="E11" s="292"/>
      <c r="F11" s="6" t="s">
        <v>37</v>
      </c>
      <c r="G11" s="297" t="str">
        <f>B38</f>
        <v>Licence Pro. Informatique-1ère année Tronc commun</v>
      </c>
      <c r="H11" s="297"/>
      <c r="I11" s="297"/>
      <c r="J11" s="297"/>
      <c r="K11" s="297"/>
      <c r="L11" s="297"/>
    </row>
    <row r="12" spans="2:13" ht="17.100000000000001" customHeight="1">
      <c r="B12" s="246" t="s">
        <v>38</v>
      </c>
      <c r="C12" s="246"/>
      <c r="D12" s="328" t="str">
        <f>'SEMESTRE N°1'!B29</f>
        <v>12/06/2006</v>
      </c>
      <c r="E12" s="329"/>
      <c r="F12" s="6" t="s">
        <v>29</v>
      </c>
      <c r="G12" s="294" t="str">
        <f>'SEMESTRE N°1'!E29</f>
        <v>TC-1</v>
      </c>
      <c r="H12" s="294"/>
      <c r="I12" s="294"/>
      <c r="J12" s="294"/>
      <c r="K12" s="294"/>
      <c r="L12" s="294"/>
    </row>
    <row r="13" spans="2:13" ht="17.100000000000001" customHeight="1">
      <c r="B13" s="6" t="s">
        <v>39</v>
      </c>
      <c r="C13" s="292" t="str">
        <f>'SEMESTRE N°1'!C29</f>
        <v>Gabonaise</v>
      </c>
      <c r="D13" s="292"/>
      <c r="E13" s="292"/>
      <c r="F13" s="6" t="s">
        <v>40</v>
      </c>
      <c r="G13" s="249"/>
      <c r="H13" s="249"/>
      <c r="I13" s="249"/>
      <c r="J13" s="249"/>
      <c r="K13" s="249"/>
      <c r="L13" s="249"/>
    </row>
    <row r="14" spans="2:13" ht="17.100000000000001" customHeight="1">
      <c r="B14" s="6" t="s">
        <v>41</v>
      </c>
      <c r="C14" s="305" t="str">
        <f>'SEMESTRE N°1'!D29</f>
        <v>242024</v>
      </c>
      <c r="D14" s="294"/>
      <c r="E14" s="294"/>
      <c r="F14" s="6" t="s">
        <v>42</v>
      </c>
      <c r="G14" s="249"/>
      <c r="H14" s="249"/>
      <c r="I14" s="249"/>
      <c r="J14" s="249"/>
      <c r="K14" s="249"/>
      <c r="L14" s="249"/>
    </row>
    <row r="15" spans="2:13">
      <c r="B15" s="281" t="s">
        <v>43</v>
      </c>
      <c r="C15" s="281"/>
      <c r="D15" s="281"/>
      <c r="E15" s="282" t="s">
        <v>17</v>
      </c>
      <c r="F15" s="283"/>
      <c r="G15" s="342" t="s">
        <v>44</v>
      </c>
      <c r="H15" s="343"/>
      <c r="I15" s="343"/>
      <c r="J15" s="343"/>
      <c r="K15" s="343"/>
      <c r="L15" s="343"/>
      <c r="M15" s="344"/>
    </row>
    <row r="16" spans="2:13">
      <c r="B16" s="281"/>
      <c r="C16" s="281"/>
      <c r="D16" s="281"/>
      <c r="E16" s="282"/>
      <c r="F16" s="283"/>
      <c r="G16" s="240" t="s">
        <v>83</v>
      </c>
      <c r="H16" s="240"/>
      <c r="I16" s="240"/>
      <c r="J16" s="379" t="s">
        <v>46</v>
      </c>
      <c r="K16" s="380"/>
      <c r="L16" s="381"/>
      <c r="M16" s="374" t="s">
        <v>47</v>
      </c>
    </row>
    <row r="17" spans="2:13">
      <c r="B17" s="233" t="s">
        <v>48</v>
      </c>
      <c r="C17" s="273" t="s">
        <v>49</v>
      </c>
      <c r="D17" s="273"/>
      <c r="E17" s="272" t="s">
        <v>49</v>
      </c>
      <c r="F17" s="272" t="s">
        <v>50</v>
      </c>
      <c r="G17" s="2" t="s">
        <v>51</v>
      </c>
      <c r="H17" s="272" t="s">
        <v>52</v>
      </c>
      <c r="I17" s="272"/>
      <c r="J17" s="119" t="s">
        <v>51</v>
      </c>
      <c r="K17" s="262" t="s">
        <v>52</v>
      </c>
      <c r="L17" s="337"/>
      <c r="M17" s="340"/>
    </row>
    <row r="18" spans="2:13">
      <c r="B18" s="234"/>
      <c r="C18" s="272"/>
      <c r="D18" s="274"/>
      <c r="E18" s="272"/>
      <c r="F18" s="272"/>
      <c r="G18" s="60" t="s">
        <v>53</v>
      </c>
      <c r="H18" s="60" t="s">
        <v>53</v>
      </c>
      <c r="I18" s="60" t="s">
        <v>50</v>
      </c>
      <c r="J18" s="87" t="s">
        <v>53</v>
      </c>
      <c r="K18" s="87" t="s">
        <v>53</v>
      </c>
      <c r="L18" s="87" t="s">
        <v>50</v>
      </c>
      <c r="M18" s="341"/>
    </row>
    <row r="19" spans="2:13" ht="17.399999999999999" customHeight="1">
      <c r="B19" s="234"/>
      <c r="C19" s="391" t="s">
        <v>54</v>
      </c>
      <c r="D19" s="364" t="s">
        <v>55</v>
      </c>
      <c r="E19" s="120" t="s">
        <v>56</v>
      </c>
      <c r="F19" s="9">
        <v>3</v>
      </c>
      <c r="G19" s="108" t="e">
        <f>[1]BULL_N19!G19</f>
        <v>#REF!</v>
      </c>
      <c r="H19" s="358" t="e">
        <f>IF(AND(G19&gt;=7, G20&gt;=7), ROUND(((F19*G19) + (F20*G20)) / (F19 + F20), 2), 0)</f>
        <v>#REF!</v>
      </c>
      <c r="I19" s="358" t="e">
        <f>IF(H19&gt;9.99,(F19+F20),0)</f>
        <v>#REF!</v>
      </c>
      <c r="J19" s="90" t="e">
        <f>IF(AND(G19&lt;10, H19&lt;10), 'SEMESTRE N°1'!G28, IF(AND(G19&gt;=10, H19&gt;=10), G19, IF(AND(G19&gt;=10, H19&lt;10), G19, IF(AND(G19&lt;10, H19&gt;=10), G19, ""))))</f>
        <v>#REF!</v>
      </c>
      <c r="K19" s="235"/>
      <c r="L19" s="235"/>
      <c r="M19" s="263" t="e">
        <f>IF(H19&gt;9.99,"Validé","Non validé")</f>
        <v>#REF!</v>
      </c>
    </row>
    <row r="20" spans="2:13" ht="18.899999999999999" customHeight="1">
      <c r="B20" s="234"/>
      <c r="C20" s="391"/>
      <c r="D20" s="367"/>
      <c r="E20" s="120" t="s">
        <v>57</v>
      </c>
      <c r="F20" s="9">
        <v>3</v>
      </c>
      <c r="G20" s="108" t="e">
        <f>[1]BULL_N19!G20</f>
        <v>#REF!</v>
      </c>
      <c r="H20" s="359"/>
      <c r="I20" s="358"/>
      <c r="J20" s="90" t="e">
        <f>IF(AND(G20&lt;10, H19&lt;10), 'SEMESTRE N°1'!J28, IF(AND(G20&gt;=10, H19&gt;=10), G20, IF(AND(G20&gt;=10, H19&lt;10), G20, IF(AND(G20&lt;10, H19&gt;=10), G20, ""))))</f>
        <v>#REF!</v>
      </c>
      <c r="K20" s="235"/>
      <c r="L20" s="235"/>
      <c r="M20" s="263"/>
    </row>
    <row r="21" spans="2:13" ht="14.4" customHeight="1">
      <c r="B21" s="234"/>
      <c r="C21" s="388" t="s">
        <v>58</v>
      </c>
      <c r="D21" s="364" t="s">
        <v>59</v>
      </c>
      <c r="E21" s="120" t="s">
        <v>60</v>
      </c>
      <c r="F21" s="9">
        <v>5</v>
      </c>
      <c r="G21" s="108" t="e">
        <f>[1]BULL_N19!G21</f>
        <v>#REF!</v>
      </c>
      <c r="H21" s="358" t="e">
        <f>IF(AND(G21&gt;=7, G22&gt;=7, G23&gt;=7), ROUND(((F21*G21) + (F22*G22)+ (F23*G23)) / (F21 + F22+F23), 2), 0)</f>
        <v>#REF!</v>
      </c>
      <c r="I21" s="358" t="e">
        <f>IF(H21&gt;9.99,(F21+F22+F23),0)</f>
        <v>#REF!</v>
      </c>
      <c r="J21" s="93" t="e">
        <f>IF(AND(G21&lt;10, H21&lt;10), 'SEMESTRE N°1'!M28, IF(AND(G21&gt;=10, H21&gt;=10), G21, IF(AND(G21&gt;=10, H21&lt;10), G21, IF(AND(G21&lt;10, H21&gt;=10), G21, ""))))</f>
        <v>#REF!</v>
      </c>
      <c r="K21" s="280"/>
      <c r="L21" s="236"/>
      <c r="M21" s="251" t="e">
        <f>IF(H21&gt;9.99,"Validé","Non validé")</f>
        <v>#REF!</v>
      </c>
    </row>
    <row r="22" spans="2:13" ht="15.6">
      <c r="B22" s="234"/>
      <c r="C22" s="388"/>
      <c r="D22" s="366"/>
      <c r="E22" s="120" t="s">
        <v>61</v>
      </c>
      <c r="F22" s="9">
        <v>3</v>
      </c>
      <c r="G22" s="108" t="e">
        <f>[1]BULL_N19!G22</f>
        <v>#REF!</v>
      </c>
      <c r="H22" s="359"/>
      <c r="I22" s="358"/>
      <c r="J22" s="90" t="e">
        <f>IF(AND(G22&lt;10, H21&lt;10), 'SEMESTRE N°1'!P28, IF(AND(G22&gt;=10, H21&gt;=10), G22, IF(AND(G22&gt;=10, H21&lt;10), G22, IF(AND(G22&lt;10, H21&gt;=10), G22, ""))))</f>
        <v>#REF!</v>
      </c>
      <c r="K22" s="280"/>
      <c r="L22" s="237"/>
      <c r="M22" s="252"/>
    </row>
    <row r="23" spans="2:13" ht="15" customHeight="1">
      <c r="B23" s="234"/>
      <c r="C23" s="388"/>
      <c r="D23" s="365"/>
      <c r="E23" s="120" t="s">
        <v>62</v>
      </c>
      <c r="F23" s="9">
        <v>3</v>
      </c>
      <c r="G23" s="108" t="e">
        <f>[1]BULL_N19!G23</f>
        <v>#REF!</v>
      </c>
      <c r="H23" s="359"/>
      <c r="I23" s="358"/>
      <c r="J23" s="90" t="e">
        <f>IF(AND(G23&lt;10, H21&lt;10), 'SEMESTRE N°1'!J28, IF(AND(G23&gt;=10, H21&gt;=10), G23, IF(AND(G23&gt;=10, H21&lt;10), G23, IF(AND(G23&lt;10, H21&gt;=10), G23, ""))))</f>
        <v>#REF!</v>
      </c>
      <c r="K23" s="280"/>
      <c r="L23" s="238"/>
      <c r="M23" s="253"/>
    </row>
    <row r="24" spans="2:13" ht="18.600000000000001" customHeight="1">
      <c r="B24" s="234"/>
      <c r="C24" s="391" t="s">
        <v>63</v>
      </c>
      <c r="D24" s="364" t="s">
        <v>64</v>
      </c>
      <c r="E24" s="120" t="s">
        <v>65</v>
      </c>
      <c r="F24" s="9">
        <v>4</v>
      </c>
      <c r="G24" s="108" t="e">
        <f>[1]BULL_N19!G24</f>
        <v>#REF!</v>
      </c>
      <c r="H24" s="358" t="e">
        <f>IF(AND(G24&gt;=7, G25&gt;=7), ROUND(((F24*G24) + (F25*G25)) / (F24 + F25), 2), 0)</f>
        <v>#REF!</v>
      </c>
      <c r="I24" s="358" t="e">
        <f>IF(H24&gt;9.99,(F24+F25),0)</f>
        <v>#REF!</v>
      </c>
      <c r="J24" s="90" t="e">
        <f>IF(AND(G24&lt;10, H24&lt;10), 'SEMESTRE N°1'!V28, IF(AND(G24&gt;=10, H24&gt;=10), G24, IF(AND(G24&gt;=10, H24&lt;10), G24, IF(AND(G24&lt;10, H24&gt;=10), G24, ""))))</f>
        <v>#REF!</v>
      </c>
      <c r="K24" s="286"/>
      <c r="L24" s="286"/>
      <c r="M24" s="254" t="e">
        <f>IF(H24&gt;9.99,"Validé","Non validé")</f>
        <v>#REF!</v>
      </c>
    </row>
    <row r="25" spans="2:13" ht="19.5" customHeight="1">
      <c r="B25" s="234"/>
      <c r="C25" s="391"/>
      <c r="D25" s="365"/>
      <c r="E25" s="120" t="s">
        <v>66</v>
      </c>
      <c r="F25" s="9">
        <v>4</v>
      </c>
      <c r="G25" s="108" t="e">
        <f>[1]BULL_N19!G25</f>
        <v>#REF!</v>
      </c>
      <c r="H25" s="359"/>
      <c r="I25" s="358"/>
      <c r="J25" s="90" t="e">
        <f>IF(AND(G25&lt;10, H24&lt;10), 'SEMESTRE N°1'!Y28, IF(AND(G25&gt;=10, H24&gt;=10), G25, IF(AND(G25&gt;=10, H24&lt;10), G25, IF(AND(G25&lt;10, H24&gt;=10), G25, ""))))</f>
        <v>#REF!</v>
      </c>
      <c r="K25" s="287"/>
      <c r="L25" s="287"/>
      <c r="M25" s="255"/>
    </row>
    <row r="26" spans="2:13" ht="17.399999999999999" customHeight="1">
      <c r="B26" s="234"/>
      <c r="C26" s="388" t="s">
        <v>67</v>
      </c>
      <c r="D26" s="378" t="s">
        <v>68</v>
      </c>
      <c r="E26" s="120" t="s">
        <v>69</v>
      </c>
      <c r="F26" s="9">
        <v>2</v>
      </c>
      <c r="G26" s="108" t="e">
        <f>[1]BULL_N19!G26</f>
        <v>#REF!</v>
      </c>
      <c r="H26" s="358" t="e">
        <f>IF(AND(G26&gt;=7, G27&gt;=7), ROUND(((F26*G26) + (F27*G27)) / (F26 + F27), 2), 0)</f>
        <v>#REF!</v>
      </c>
      <c r="I26" s="358" t="e">
        <f>IF(H26&gt;9.99,(F26+F27),0)</f>
        <v>#REF!</v>
      </c>
      <c r="J26" s="93" t="e">
        <f>IF(AND(G26&lt;10, H26&lt;10), 'SEMESTRE N°1'!AB28, IF(AND(G26&gt;=10, H26&gt;=10), G26, IF(AND(G26&gt;=10, H26&lt;10), G26, IF(AND(G26&lt;10, H26&gt;=10), G26, ""))))</f>
        <v>#REF!</v>
      </c>
      <c r="K26" s="286"/>
      <c r="L26" s="286"/>
      <c r="M26" s="254" t="e">
        <f>IF(H26&gt;9.99,"Validé","Non validé")</f>
        <v>#REF!</v>
      </c>
    </row>
    <row r="27" spans="2:13" ht="24.6" customHeight="1">
      <c r="B27" s="234"/>
      <c r="C27" s="388"/>
      <c r="D27" s="365"/>
      <c r="E27" s="120" t="s">
        <v>70</v>
      </c>
      <c r="F27" s="9">
        <v>3</v>
      </c>
      <c r="G27" s="108" t="e">
        <f>[1]BULL_N19!G27</f>
        <v>#REF!</v>
      </c>
      <c r="H27" s="359"/>
      <c r="I27" s="358"/>
      <c r="J27" s="93" t="e">
        <f>IF(AND(G27&lt;10, H26&lt;10), 'SEMESTRE N°1'!AE28, IF(AND(G27&gt;=10, H26&gt;=10), G27, IF(AND(G27&gt;=10, H26&lt;10), G27, IF(AND(G27&lt;10, H26&gt;=10), G27, ""))))</f>
        <v>#REF!</v>
      </c>
      <c r="K27" s="287"/>
      <c r="L27" s="235"/>
      <c r="M27" s="255"/>
    </row>
    <row r="28" spans="2:13">
      <c r="B28" s="234"/>
      <c r="C28" s="284" t="s">
        <v>71</v>
      </c>
      <c r="D28" s="285"/>
      <c r="E28" s="284"/>
      <c r="F28" s="19">
        <f>F19+F20+F21+F22+F23+F24+F25+F26+F27</f>
        <v>30</v>
      </c>
      <c r="G28" s="3"/>
      <c r="H28" s="117" t="e">
        <f>ROUND((H19+H21+H24+H26)/4,2)</f>
        <v>#REF!</v>
      </c>
      <c r="I28" s="110" t="e">
        <f>I26+I24+I21+I19</f>
        <v>#REF!</v>
      </c>
      <c r="J28" s="91"/>
      <c r="K28" s="115"/>
      <c r="L28" s="116"/>
      <c r="M28" s="88"/>
    </row>
    <row r="29" spans="2:13">
      <c r="C29" s="11"/>
      <c r="G29" s="11"/>
    </row>
    <row r="30" spans="2:13" ht="15" customHeight="1">
      <c r="B30" s="392" t="s">
        <v>72</v>
      </c>
      <c r="C30" s="393"/>
      <c r="D30" s="21" t="e">
        <f>I19+I21+I24+I26</f>
        <v>#REF!</v>
      </c>
      <c r="E30" s="12"/>
      <c r="F30" s="13"/>
      <c r="G30" s="14"/>
      <c r="H30" s="15"/>
      <c r="I30" s="15"/>
      <c r="J30" s="39" t="s">
        <v>73</v>
      </c>
      <c r="K30" s="39"/>
      <c r="L30" s="39"/>
      <c r="M30" s="36"/>
    </row>
    <row r="31" spans="2:13" ht="12.75" customHeight="1">
      <c r="B31" s="394" t="s">
        <v>74</v>
      </c>
      <c r="C31" s="395"/>
      <c r="D31" s="22" t="e">
        <f>IF(D30=F28,"Semestre validé","Semestre non validé")</f>
        <v>#REF!</v>
      </c>
      <c r="E31" s="13"/>
      <c r="F31" s="13"/>
      <c r="G31" s="16"/>
      <c r="L31" s="13"/>
    </row>
    <row r="32" spans="2:13" ht="12.75" customHeight="1">
      <c r="B32" s="394" t="s">
        <v>75</v>
      </c>
      <c r="C32" s="395"/>
      <c r="D32" s="1">
        <v>0</v>
      </c>
      <c r="E32" s="13"/>
      <c r="F32" s="13"/>
      <c r="G32" s="16"/>
      <c r="L32" s="13"/>
    </row>
    <row r="33" spans="2:13">
      <c r="E33" s="13"/>
      <c r="F33" s="13"/>
      <c r="G33" s="16"/>
      <c r="H33" s="13"/>
      <c r="I33" s="13"/>
      <c r="J33" s="13"/>
    </row>
    <row r="34" spans="2:13" ht="15.75" customHeight="1">
      <c r="C34" s="16"/>
      <c r="D34" s="13"/>
      <c r="E34" s="13"/>
      <c r="F34" s="13"/>
      <c r="G34" s="38" t="s">
        <v>76</v>
      </c>
      <c r="H34" s="38"/>
      <c r="I34" s="38"/>
      <c r="J34" s="38"/>
      <c r="K34" s="38"/>
      <c r="L34" s="38"/>
      <c r="M34" s="38"/>
    </row>
    <row r="35" spans="2:13" ht="14.4" customHeight="1">
      <c r="B35" s="308" t="s">
        <v>77</v>
      </c>
      <c r="C35" s="308"/>
      <c r="D35" s="308"/>
      <c r="E35" s="308"/>
      <c r="F35" s="308"/>
      <c r="G35" s="308"/>
      <c r="H35" s="308"/>
      <c r="I35" s="308"/>
      <c r="J35" s="308"/>
      <c r="K35" s="308"/>
      <c r="L35" s="308"/>
      <c r="M35" s="308"/>
    </row>
    <row r="36" spans="2:13">
      <c r="B36" s="308"/>
      <c r="C36" s="308"/>
      <c r="D36" s="308"/>
      <c r="E36" s="308"/>
      <c r="F36" s="308"/>
      <c r="G36" s="308"/>
      <c r="H36" s="308"/>
      <c r="I36" s="308"/>
      <c r="J36" s="308"/>
      <c r="K36" s="308"/>
      <c r="L36" s="308"/>
      <c r="M36" s="308"/>
    </row>
    <row r="38" spans="2:13" hidden="1">
      <c r="B38" s="18" t="s">
        <v>78</v>
      </c>
    </row>
  </sheetData>
  <mergeCells count="55">
    <mergeCell ref="B35:M36"/>
    <mergeCell ref="C28:E28"/>
    <mergeCell ref="B30:C30"/>
    <mergeCell ref="B31:C31"/>
    <mergeCell ref="B32:C32"/>
    <mergeCell ref="B17:B28"/>
    <mergeCell ref="C24:C25"/>
    <mergeCell ref="L24:L25"/>
    <mergeCell ref="M24:M25"/>
    <mergeCell ref="H26:H27"/>
    <mergeCell ref="I26:I27"/>
    <mergeCell ref="M19:M20"/>
    <mergeCell ref="M21:M23"/>
    <mergeCell ref="M26:M27"/>
    <mergeCell ref="C17:D18"/>
    <mergeCell ref="E17:E18"/>
    <mergeCell ref="C21:C23"/>
    <mergeCell ref="K26:K27"/>
    <mergeCell ref="D24:D25"/>
    <mergeCell ref="H24:H25"/>
    <mergeCell ref="I24:I25"/>
    <mergeCell ref="K24:K25"/>
    <mergeCell ref="D26:D27"/>
    <mergeCell ref="H21:H23"/>
    <mergeCell ref="I21:I23"/>
    <mergeCell ref="K21:K23"/>
    <mergeCell ref="C19:C20"/>
    <mergeCell ref="D19:D20"/>
    <mergeCell ref="H19:H20"/>
    <mergeCell ref="I19:I20"/>
    <mergeCell ref="K19:K20"/>
    <mergeCell ref="G16:I16"/>
    <mergeCell ref="D21:D23"/>
    <mergeCell ref="L26:L27"/>
    <mergeCell ref="L21:L23"/>
    <mergeCell ref="L19:L20"/>
    <mergeCell ref="F17:F18"/>
    <mergeCell ref="K17:L17"/>
    <mergeCell ref="J16:L16"/>
    <mergeCell ref="G15:M15"/>
    <mergeCell ref="C26:C27"/>
    <mergeCell ref="B9:M9"/>
    <mergeCell ref="C11:E11"/>
    <mergeCell ref="G11:L11"/>
    <mergeCell ref="M16:M18"/>
    <mergeCell ref="H17:I17"/>
    <mergeCell ref="B12:C12"/>
    <mergeCell ref="D12:E12"/>
    <mergeCell ref="G12:L12"/>
    <mergeCell ref="C13:E13"/>
    <mergeCell ref="G13:L13"/>
    <mergeCell ref="C14:E14"/>
    <mergeCell ref="G14:L14"/>
    <mergeCell ref="B15:D16"/>
    <mergeCell ref="E15:F16"/>
  </mergeCells>
  <pageMargins left="0" right="0" top="0" bottom="0" header="0" footer="0"/>
  <pageSetup paperSize="9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C59FA-FBD2-49E3-9B92-B909ABC85A19}">
  <sheetPr codeName="Feuil22">
    <tabColor rgb="FF7030A0"/>
  </sheetPr>
  <dimension ref="B5:M39"/>
  <sheetViews>
    <sheetView showGridLines="0" view="pageLayout" topLeftCell="A7" zoomScaleNormal="100" workbookViewId="0">
      <selection activeCell="J20" sqref="J20"/>
    </sheetView>
  </sheetViews>
  <sheetFormatPr baseColWidth="10" defaultColWidth="10.88671875" defaultRowHeight="14.4"/>
  <cols>
    <col min="1" max="1" width="4.6640625" style="5" customWidth="1"/>
    <col min="2" max="2" width="10.88671875" style="5"/>
    <col min="3" max="3" width="9.6640625" style="5" customWidth="1"/>
    <col min="4" max="4" width="15.109375" style="5" customWidth="1"/>
    <col min="5" max="5" width="31.109375" style="5" customWidth="1"/>
    <col min="6" max="6" width="10.6640625" style="5" customWidth="1"/>
    <col min="7" max="7" width="7.6640625" style="5" customWidth="1"/>
    <col min="8" max="9" width="9.109375" style="5" customWidth="1"/>
    <col min="10" max="10" width="8.33203125" style="5" customWidth="1"/>
    <col min="11" max="12" width="7.44140625" style="5" customWidth="1"/>
    <col min="13" max="13" width="12.5546875" style="5" customWidth="1"/>
    <col min="14" max="14" width="4.6640625" style="5" customWidth="1"/>
    <col min="15" max="16384" width="10.88671875" style="5"/>
  </cols>
  <sheetData>
    <row r="5" spans="2:13">
      <c r="E5" s="288" t="s">
        <v>162</v>
      </c>
      <c r="F5" s="229"/>
      <c r="G5" s="229"/>
      <c r="H5" s="229"/>
      <c r="I5" s="229"/>
      <c r="J5" s="229"/>
      <c r="K5" s="229"/>
      <c r="L5" s="229"/>
      <c r="M5" s="229"/>
    </row>
    <row r="6" spans="2:13">
      <c r="E6" s="229"/>
      <c r="F6" s="229"/>
      <c r="G6" s="229"/>
      <c r="H6" s="229"/>
      <c r="I6" s="229"/>
      <c r="J6" s="229"/>
      <c r="K6" s="229"/>
      <c r="L6" s="229"/>
      <c r="M6" s="229"/>
    </row>
    <row r="7" spans="2:13">
      <c r="E7" s="229"/>
      <c r="F7" s="229"/>
      <c r="G7" s="229"/>
      <c r="H7" s="229"/>
      <c r="I7" s="229"/>
      <c r="J7" s="229"/>
      <c r="K7" s="229"/>
      <c r="L7" s="229"/>
      <c r="M7" s="229"/>
    </row>
    <row r="8" spans="2:13">
      <c r="E8" s="230"/>
      <c r="F8" s="230"/>
      <c r="G8" s="230"/>
      <c r="H8" s="230"/>
      <c r="I8" s="230"/>
      <c r="J8" s="230"/>
      <c r="K8" s="230"/>
      <c r="L8" s="230"/>
      <c r="M8" s="230"/>
    </row>
    <row r="9" spans="2:13" ht="18" customHeight="1">
      <c r="B9" s="316" t="s">
        <v>35</v>
      </c>
      <c r="C9" s="317"/>
      <c r="D9" s="317"/>
      <c r="E9" s="317"/>
      <c r="F9" s="317"/>
      <c r="G9" s="317"/>
      <c r="H9" s="317"/>
      <c r="I9" s="317"/>
      <c r="J9" s="317"/>
      <c r="K9" s="317"/>
      <c r="L9" s="317"/>
      <c r="M9" s="318"/>
    </row>
    <row r="10" spans="2:13" ht="18" customHeight="1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2:13" ht="17.100000000000001" customHeight="1">
      <c r="B11" s="6" t="s">
        <v>36</v>
      </c>
      <c r="C11" s="291" t="str">
        <f>'SEMESTRE N°1'!A29</f>
        <v>NGOMA BOUANGA Ray Meschak</v>
      </c>
      <c r="D11" s="292"/>
      <c r="E11" s="292"/>
      <c r="F11" s="6" t="s">
        <v>37</v>
      </c>
      <c r="G11" s="294" t="str">
        <f>B39</f>
        <v>Licence Pro. Informatique-1ère année Tronc commun</v>
      </c>
      <c r="H11" s="294"/>
      <c r="I11" s="294"/>
      <c r="J11" s="294"/>
      <c r="K11" s="294"/>
      <c r="L11" s="294"/>
    </row>
    <row r="12" spans="2:13" ht="17.100000000000001" customHeight="1">
      <c r="B12" s="246" t="s">
        <v>38</v>
      </c>
      <c r="C12" s="246"/>
      <c r="D12" s="305" t="str">
        <f>'SEMESTRE N°1'!B29</f>
        <v>12/06/2006</v>
      </c>
      <c r="E12" s="294"/>
      <c r="F12" s="6" t="s">
        <v>29</v>
      </c>
      <c r="G12" s="294" t="str">
        <f>'SEMESTRE N°1'!E30</f>
        <v>TC-1</v>
      </c>
      <c r="H12" s="294"/>
      <c r="I12" s="294"/>
      <c r="J12" s="294"/>
      <c r="K12" s="294"/>
      <c r="L12" s="294"/>
    </row>
    <row r="13" spans="2:13" ht="17.100000000000001" customHeight="1">
      <c r="B13" s="6" t="s">
        <v>39</v>
      </c>
      <c r="C13" s="291" t="str">
        <f>'SEMESTRE N°1'!C29</f>
        <v>Gabonaise</v>
      </c>
      <c r="D13" s="292"/>
      <c r="E13" s="292"/>
      <c r="F13" s="6" t="s">
        <v>40</v>
      </c>
      <c r="G13" s="249"/>
      <c r="H13" s="249"/>
      <c r="I13" s="249"/>
      <c r="J13" s="249"/>
      <c r="K13" s="249"/>
      <c r="L13" s="249"/>
    </row>
    <row r="14" spans="2:13" ht="17.100000000000001" customHeight="1">
      <c r="B14" s="6" t="s">
        <v>41</v>
      </c>
      <c r="C14" s="296" t="str">
        <f>'SEMESTRE N°1'!D29</f>
        <v>242024</v>
      </c>
      <c r="D14" s="297"/>
      <c r="E14" s="297"/>
      <c r="F14" s="6" t="s">
        <v>42</v>
      </c>
      <c r="G14" s="249"/>
      <c r="H14" s="249"/>
      <c r="I14" s="249"/>
      <c r="J14" s="249"/>
      <c r="K14" s="249"/>
      <c r="L14" s="249"/>
    </row>
    <row r="15" spans="2:13">
      <c r="B15" s="281" t="s">
        <v>43</v>
      </c>
      <c r="C15" s="281"/>
      <c r="D15" s="281"/>
      <c r="E15" s="396" t="s">
        <v>17</v>
      </c>
      <c r="F15" s="283"/>
      <c r="G15" s="342" t="s">
        <v>44</v>
      </c>
      <c r="H15" s="343"/>
      <c r="I15" s="343"/>
      <c r="J15" s="343"/>
      <c r="K15" s="343"/>
      <c r="L15" s="343"/>
      <c r="M15" s="344"/>
    </row>
    <row r="16" spans="2:13">
      <c r="B16" s="281"/>
      <c r="C16" s="281"/>
      <c r="D16" s="281"/>
      <c r="E16" s="282"/>
      <c r="F16" s="283"/>
      <c r="G16" s="240" t="s">
        <v>83</v>
      </c>
      <c r="H16" s="240"/>
      <c r="I16" s="240"/>
      <c r="J16" s="379" t="s">
        <v>46</v>
      </c>
      <c r="K16" s="380"/>
      <c r="L16" s="381"/>
      <c r="M16" s="374" t="s">
        <v>47</v>
      </c>
    </row>
    <row r="17" spans="2:13">
      <c r="B17" s="233" t="s">
        <v>48</v>
      </c>
      <c r="C17" s="273" t="s">
        <v>49</v>
      </c>
      <c r="D17" s="273"/>
      <c r="E17" s="272" t="s">
        <v>49</v>
      </c>
      <c r="F17" s="272" t="s">
        <v>50</v>
      </c>
      <c r="G17" s="2" t="s">
        <v>51</v>
      </c>
      <c r="H17" s="272" t="s">
        <v>52</v>
      </c>
      <c r="I17" s="272"/>
      <c r="J17" s="119" t="s">
        <v>51</v>
      </c>
      <c r="K17" s="262" t="s">
        <v>52</v>
      </c>
      <c r="L17" s="337"/>
      <c r="M17" s="340"/>
    </row>
    <row r="18" spans="2:13">
      <c r="B18" s="234"/>
      <c r="C18" s="272"/>
      <c r="D18" s="274"/>
      <c r="E18" s="272"/>
      <c r="F18" s="272"/>
      <c r="G18" s="60" t="s">
        <v>53</v>
      </c>
      <c r="H18" s="60" t="s">
        <v>53</v>
      </c>
      <c r="I18" s="60" t="s">
        <v>50</v>
      </c>
      <c r="J18" s="87" t="s">
        <v>53</v>
      </c>
      <c r="K18" s="87" t="s">
        <v>53</v>
      </c>
      <c r="L18" s="87" t="s">
        <v>50</v>
      </c>
      <c r="M18" s="341"/>
    </row>
    <row r="19" spans="2:13" ht="15" customHeight="1">
      <c r="B19" s="234"/>
      <c r="C19" s="363" t="s">
        <v>54</v>
      </c>
      <c r="D19" s="364" t="s">
        <v>55</v>
      </c>
      <c r="E19" s="120" t="s">
        <v>56</v>
      </c>
      <c r="F19" s="9">
        <v>3</v>
      </c>
      <c r="G19" s="103">
        <f>[1]BULL_N20!G19</f>
        <v>10.600000000000001</v>
      </c>
      <c r="H19" s="397">
        <f>IF(AND(G19&gt;=7, G20&gt;=7), ROUND(((F19*G19) + (F20*G20)) / (F19 + F20), 2), 0)</f>
        <v>14.73</v>
      </c>
      <c r="I19" s="397">
        <f>IF(H19&gt;9.99,(F19+F20),0)</f>
        <v>6</v>
      </c>
      <c r="J19" s="90"/>
      <c r="K19" s="235"/>
      <c r="L19" s="235"/>
      <c r="M19" s="263" t="str">
        <f>IF(H19&gt;9.99,"Validé","Non validé")</f>
        <v>Validé</v>
      </c>
    </row>
    <row r="20" spans="2:13" ht="15" customHeight="1">
      <c r="B20" s="234"/>
      <c r="C20" s="363"/>
      <c r="D20" s="367"/>
      <c r="E20" s="120" t="s">
        <v>57</v>
      </c>
      <c r="F20" s="9">
        <v>3</v>
      </c>
      <c r="G20" s="103">
        <f>[1]BULL_N20!G20</f>
        <v>18.852</v>
      </c>
      <c r="H20" s="397"/>
      <c r="I20" s="397"/>
      <c r="J20" s="90"/>
      <c r="K20" s="235"/>
      <c r="L20" s="235"/>
      <c r="M20" s="263"/>
    </row>
    <row r="21" spans="2:13" ht="15" customHeight="1">
      <c r="B21" s="234"/>
      <c r="C21" s="363" t="s">
        <v>58</v>
      </c>
      <c r="D21" s="364" t="s">
        <v>59</v>
      </c>
      <c r="E21" s="120" t="s">
        <v>169</v>
      </c>
      <c r="F21" s="9">
        <v>5</v>
      </c>
      <c r="G21" s="103">
        <f>[1]BULL_N20!G21</f>
        <v>13.2</v>
      </c>
      <c r="H21" s="397">
        <f>IF(AND(G21&gt;=7, G22&gt;=7, G23&gt;=7), ROUND(((F21*G21) + (F22*G22)+ (F23*G23)) / (F21 + F22+F23), 2), 0)</f>
        <v>12.78</v>
      </c>
      <c r="I21" s="397">
        <f>IF(H21&gt;9.99,(F21+F22+F23),0)</f>
        <v>11</v>
      </c>
      <c r="J21" s="93"/>
      <c r="K21" s="280"/>
      <c r="L21" s="236"/>
      <c r="M21" s="251" t="str">
        <f>IF(H21&gt;9.99,"Validé","Non validé")</f>
        <v>Validé</v>
      </c>
    </row>
    <row r="22" spans="2:13" ht="15" customHeight="1">
      <c r="B22" s="234"/>
      <c r="C22" s="363"/>
      <c r="D22" s="366"/>
      <c r="E22" s="120" t="s">
        <v>61</v>
      </c>
      <c r="F22" s="9">
        <v>3</v>
      </c>
      <c r="G22" s="103">
        <f>[1]BULL_N20!G22</f>
        <v>16</v>
      </c>
      <c r="H22" s="397"/>
      <c r="I22" s="397"/>
      <c r="J22" s="90"/>
      <c r="K22" s="280"/>
      <c r="L22" s="237"/>
      <c r="M22" s="252"/>
    </row>
    <row r="23" spans="2:13" ht="15" customHeight="1">
      <c r="B23" s="234"/>
      <c r="C23" s="363"/>
      <c r="D23" s="365"/>
      <c r="E23" s="120" t="s">
        <v>62</v>
      </c>
      <c r="F23" s="9">
        <v>3</v>
      </c>
      <c r="G23" s="103">
        <f>[1]BULL_N20!G23</f>
        <v>8.85</v>
      </c>
      <c r="H23" s="397"/>
      <c r="I23" s="397"/>
      <c r="J23" s="90"/>
      <c r="K23" s="280"/>
      <c r="L23" s="238"/>
      <c r="M23" s="253"/>
    </row>
    <row r="24" spans="2:13" ht="15" customHeight="1">
      <c r="B24" s="234"/>
      <c r="C24" s="363" t="s">
        <v>63</v>
      </c>
      <c r="D24" s="364" t="s">
        <v>64</v>
      </c>
      <c r="E24" s="120" t="s">
        <v>65</v>
      </c>
      <c r="F24" s="9">
        <v>4</v>
      </c>
      <c r="G24" s="103">
        <f>[1]BULL_N20!G24</f>
        <v>19.399999999999999</v>
      </c>
      <c r="H24" s="397">
        <f>IF(AND(G24&gt;=7, G25&gt;=7), ROUND(((F24*G24) + (F25*G25)) / (F24 + F25), 2), 0)</f>
        <v>18.63</v>
      </c>
      <c r="I24" s="397">
        <f>IF(H24&gt;9.99,(F24+F25),0)</f>
        <v>8</v>
      </c>
      <c r="J24" s="90"/>
      <c r="K24" s="286"/>
      <c r="L24" s="286"/>
      <c r="M24" s="254" t="str">
        <f>IF(H24&gt;9.99,"Validé","Non validé")</f>
        <v>Validé</v>
      </c>
    </row>
    <row r="25" spans="2:13" ht="15" customHeight="1">
      <c r="B25" s="234"/>
      <c r="C25" s="363"/>
      <c r="D25" s="365"/>
      <c r="E25" s="120" t="s">
        <v>66</v>
      </c>
      <c r="F25" s="9">
        <v>4</v>
      </c>
      <c r="G25" s="103">
        <f>[1]BULL_N20!G25</f>
        <v>17.863999999999997</v>
      </c>
      <c r="H25" s="397"/>
      <c r="I25" s="397"/>
      <c r="J25" s="90"/>
      <c r="K25" s="287"/>
      <c r="L25" s="287"/>
      <c r="M25" s="255"/>
    </row>
    <row r="26" spans="2:13" ht="15" customHeight="1">
      <c r="B26" s="234"/>
      <c r="C26" s="363" t="s">
        <v>67</v>
      </c>
      <c r="D26" s="378" t="s">
        <v>68</v>
      </c>
      <c r="E26" s="120" t="s">
        <v>69</v>
      </c>
      <c r="F26" s="9">
        <v>2</v>
      </c>
      <c r="G26" s="103">
        <f>[1]BULL_N20!G26</f>
        <v>14.200000000000001</v>
      </c>
      <c r="H26" s="397">
        <f>IF(AND(G26&gt;=7, G27&gt;=7), ROUND(((F26*G26) + (F27*G27)) / (F26 + F27), 2), 0)</f>
        <v>16.21</v>
      </c>
      <c r="I26" s="397">
        <f>IF(H26&gt;9.99,(F26+F27),0)</f>
        <v>5</v>
      </c>
      <c r="J26" s="93"/>
      <c r="K26" s="286"/>
      <c r="L26" s="286"/>
      <c r="M26" s="254" t="str">
        <f>IF(H26&gt;9.99,"Validé","Non validé")</f>
        <v>Validé</v>
      </c>
    </row>
    <row r="27" spans="2:13" ht="24.6" customHeight="1">
      <c r="B27" s="234"/>
      <c r="C27" s="363"/>
      <c r="D27" s="365"/>
      <c r="E27" s="120" t="s">
        <v>70</v>
      </c>
      <c r="F27" s="9">
        <v>3</v>
      </c>
      <c r="G27" s="103">
        <f>[1]BULL_N20!G27</f>
        <v>17.548000000000002</v>
      </c>
      <c r="H27" s="397"/>
      <c r="I27" s="397"/>
      <c r="J27" s="93"/>
      <c r="K27" s="287"/>
      <c r="L27" s="235"/>
      <c r="M27" s="255"/>
    </row>
    <row r="28" spans="2:13" ht="18.899999999999999" customHeight="1">
      <c r="B28" s="234"/>
      <c r="C28" s="284" t="s">
        <v>71</v>
      </c>
      <c r="D28" s="285"/>
      <c r="E28" s="284"/>
      <c r="F28" s="19">
        <f>F19+F20+F21+F22+F23+F24+F25+F26+F27</f>
        <v>30</v>
      </c>
      <c r="G28" s="104"/>
      <c r="H28" s="164">
        <f>ROUND((H19+H21+H24+H26)/4,2)</f>
        <v>15.59</v>
      </c>
      <c r="I28" s="180">
        <f>I26+I24+I21+I19</f>
        <v>30</v>
      </c>
      <c r="J28" s="91"/>
      <c r="K28" s="115"/>
      <c r="L28" s="116"/>
      <c r="M28" s="88"/>
    </row>
    <row r="29" spans="2:13">
      <c r="C29" s="11"/>
      <c r="G29" s="11"/>
    </row>
    <row r="30" spans="2:13" ht="18">
      <c r="B30" s="360" t="s">
        <v>72</v>
      </c>
      <c r="C30" s="361"/>
      <c r="D30" s="21">
        <f>I28</f>
        <v>30</v>
      </c>
      <c r="E30" s="12"/>
      <c r="F30" s="13"/>
      <c r="G30" s="14"/>
      <c r="H30" s="15"/>
      <c r="I30" s="15"/>
      <c r="K30" s="39" t="s">
        <v>73</v>
      </c>
      <c r="L30" s="39"/>
      <c r="M30" s="39"/>
    </row>
    <row r="31" spans="2:13" ht="15.6">
      <c r="B31" s="360" t="s">
        <v>74</v>
      </c>
      <c r="C31" s="361"/>
      <c r="D31" s="22" t="str">
        <f>IF(D30=F28,"Semestre validé","Semestre non validé")</f>
        <v>Semestre validé</v>
      </c>
      <c r="E31" s="13"/>
      <c r="F31" s="13"/>
      <c r="G31" s="16"/>
      <c r="H31" s="36"/>
      <c r="I31" s="36"/>
      <c r="J31" s="36"/>
      <c r="K31" s="36"/>
      <c r="L31" s="13"/>
    </row>
    <row r="32" spans="2:13" ht="17.100000000000001" customHeight="1">
      <c r="B32" s="360" t="s">
        <v>75</v>
      </c>
      <c r="C32" s="361"/>
      <c r="D32" s="1">
        <v>0</v>
      </c>
      <c r="E32" s="13"/>
      <c r="F32" s="13"/>
      <c r="G32" s="16"/>
      <c r="H32" s="13"/>
      <c r="I32" s="13"/>
      <c r="J32" s="13"/>
    </row>
    <row r="33" spans="2:13" ht="17.100000000000001" customHeight="1">
      <c r="B33" s="178"/>
      <c r="C33" s="178"/>
      <c r="D33" s="1"/>
      <c r="E33" s="13"/>
      <c r="F33" s="13"/>
      <c r="G33" s="16"/>
      <c r="H33" s="13"/>
      <c r="I33" s="13"/>
      <c r="J33" s="13"/>
    </row>
    <row r="34" spans="2:13" ht="17.100000000000001" customHeight="1">
      <c r="C34" s="16"/>
      <c r="D34" s="13"/>
      <c r="E34" s="13"/>
      <c r="F34" s="13"/>
      <c r="G34" s="16"/>
      <c r="H34" s="13"/>
      <c r="I34" s="13"/>
      <c r="J34" s="13"/>
    </row>
    <row r="35" spans="2:13" ht="17.100000000000001" customHeight="1">
      <c r="C35" s="16"/>
      <c r="D35" s="13"/>
      <c r="E35" s="13"/>
      <c r="F35" s="13"/>
      <c r="G35" s="275" t="s">
        <v>76</v>
      </c>
      <c r="H35" s="275"/>
      <c r="I35" s="275"/>
      <c r="J35" s="275"/>
      <c r="K35" s="275"/>
      <c r="L35" s="275"/>
      <c r="M35" s="275"/>
    </row>
    <row r="36" spans="2:13" ht="14.4" customHeight="1">
      <c r="B36" s="308" t="s">
        <v>77</v>
      </c>
      <c r="C36" s="308"/>
      <c r="D36" s="308"/>
      <c r="E36" s="308"/>
      <c r="F36" s="308"/>
      <c r="G36" s="308"/>
      <c r="H36" s="308"/>
      <c r="I36" s="308"/>
      <c r="J36" s="308"/>
      <c r="K36" s="308"/>
      <c r="L36" s="308"/>
      <c r="M36" s="308"/>
    </row>
    <row r="37" spans="2:13">
      <c r="B37" s="308"/>
      <c r="C37" s="308"/>
      <c r="D37" s="308"/>
      <c r="E37" s="308"/>
      <c r="F37" s="308"/>
      <c r="G37" s="308"/>
      <c r="H37" s="308"/>
      <c r="I37" s="308"/>
      <c r="J37" s="308"/>
      <c r="K37" s="308"/>
      <c r="L37" s="308"/>
      <c r="M37" s="308"/>
    </row>
    <row r="38" spans="2:13" ht="18">
      <c r="G38" s="35"/>
      <c r="H38" s="35"/>
      <c r="I38" s="35"/>
      <c r="J38" s="35"/>
      <c r="K38" s="35"/>
      <c r="L38" s="35"/>
    </row>
    <row r="39" spans="2:13" hidden="1">
      <c r="B39" s="18" t="s">
        <v>78</v>
      </c>
    </row>
  </sheetData>
  <mergeCells count="57">
    <mergeCell ref="M24:M25"/>
    <mergeCell ref="M26:M27"/>
    <mergeCell ref="G15:M15"/>
    <mergeCell ref="B9:M9"/>
    <mergeCell ref="B36:M37"/>
    <mergeCell ref="J16:L16"/>
    <mergeCell ref="M16:M18"/>
    <mergeCell ref="M19:M20"/>
    <mergeCell ref="M21:M23"/>
    <mergeCell ref="G35:M35"/>
    <mergeCell ref="C28:E28"/>
    <mergeCell ref="B30:C30"/>
    <mergeCell ref="B31:C31"/>
    <mergeCell ref="B32:C32"/>
    <mergeCell ref="L26:L27"/>
    <mergeCell ref="L24:L25"/>
    <mergeCell ref="C26:C27"/>
    <mergeCell ref="D26:D27"/>
    <mergeCell ref="H26:H27"/>
    <mergeCell ref="I26:I27"/>
    <mergeCell ref="K26:K27"/>
    <mergeCell ref="L19:L20"/>
    <mergeCell ref="K17:L17"/>
    <mergeCell ref="C24:C25"/>
    <mergeCell ref="D24:D25"/>
    <mergeCell ref="H24:H25"/>
    <mergeCell ref="I24:I25"/>
    <mergeCell ref="K24:K25"/>
    <mergeCell ref="I19:I20"/>
    <mergeCell ref="K19:K20"/>
    <mergeCell ref="C21:C23"/>
    <mergeCell ref="D21:D23"/>
    <mergeCell ref="H21:H23"/>
    <mergeCell ref="I21:I23"/>
    <mergeCell ref="K21:K23"/>
    <mergeCell ref="E5:M8"/>
    <mergeCell ref="C11:E11"/>
    <mergeCell ref="G11:L11"/>
    <mergeCell ref="B12:C12"/>
    <mergeCell ref="D12:E12"/>
    <mergeCell ref="G12:L12"/>
    <mergeCell ref="C13:E13"/>
    <mergeCell ref="G13:L13"/>
    <mergeCell ref="C14:E14"/>
    <mergeCell ref="G14:L14"/>
    <mergeCell ref="B17:B28"/>
    <mergeCell ref="C17:D18"/>
    <mergeCell ref="E17:E18"/>
    <mergeCell ref="F17:F18"/>
    <mergeCell ref="H17:I17"/>
    <mergeCell ref="B15:D16"/>
    <mergeCell ref="E15:F16"/>
    <mergeCell ref="G16:I16"/>
    <mergeCell ref="L21:L23"/>
    <mergeCell ref="C19:C20"/>
    <mergeCell ref="D19:D20"/>
    <mergeCell ref="H19:H20"/>
  </mergeCells>
  <pageMargins left="0" right="0" top="0" bottom="0" header="0" footer="0"/>
  <pageSetup paperSize="9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5AAE6-2A49-4C95-8F08-50353850C198}">
  <sheetPr codeName="Feuil23">
    <tabColor rgb="FF7030A0"/>
  </sheetPr>
  <dimension ref="B5:M39"/>
  <sheetViews>
    <sheetView showGridLines="0" view="pageLayout" topLeftCell="B7" zoomScaleNormal="100" workbookViewId="0">
      <selection activeCell="D12" sqref="D12:E12"/>
    </sheetView>
  </sheetViews>
  <sheetFormatPr baseColWidth="10" defaultColWidth="10.88671875" defaultRowHeight="14.4"/>
  <cols>
    <col min="1" max="1" width="4.6640625" style="5" customWidth="1"/>
    <col min="2" max="2" width="10.88671875" style="5"/>
    <col min="3" max="3" width="9.88671875" style="5" customWidth="1"/>
    <col min="4" max="4" width="15.5546875" style="5" customWidth="1"/>
    <col min="5" max="5" width="31.109375" style="5" customWidth="1"/>
    <col min="6" max="6" width="10.6640625" style="5" customWidth="1"/>
    <col min="7" max="7" width="7.6640625" style="5" customWidth="1"/>
    <col min="8" max="8" width="8.44140625" style="5" customWidth="1"/>
    <col min="9" max="9" width="6.88671875" style="5" customWidth="1"/>
    <col min="10" max="10" width="9.33203125" style="5" customWidth="1"/>
    <col min="11" max="12" width="7.44140625" style="5" customWidth="1"/>
    <col min="13" max="13" width="10.5546875" style="5" customWidth="1"/>
    <col min="14" max="16384" width="10.88671875" style="5"/>
  </cols>
  <sheetData>
    <row r="5" spans="2:13">
      <c r="E5" s="288" t="s">
        <v>162</v>
      </c>
      <c r="F5" s="229"/>
      <c r="G5" s="229"/>
      <c r="H5" s="229"/>
      <c r="I5" s="229"/>
      <c r="J5" s="229"/>
      <c r="K5" s="229"/>
      <c r="L5" s="229"/>
      <c r="M5" s="229"/>
    </row>
    <row r="6" spans="2:13">
      <c r="E6" s="229"/>
      <c r="F6" s="229"/>
      <c r="G6" s="229"/>
      <c r="H6" s="229"/>
      <c r="I6" s="229"/>
      <c r="J6" s="229"/>
      <c r="K6" s="229"/>
      <c r="L6" s="229"/>
      <c r="M6" s="229"/>
    </row>
    <row r="7" spans="2:13">
      <c r="E7" s="229"/>
      <c r="F7" s="229"/>
      <c r="G7" s="229"/>
      <c r="H7" s="229"/>
      <c r="I7" s="229"/>
      <c r="J7" s="229"/>
      <c r="K7" s="229"/>
      <c r="L7" s="229"/>
      <c r="M7" s="229"/>
    </row>
    <row r="8" spans="2:13">
      <c r="E8" s="230"/>
      <c r="F8" s="230"/>
      <c r="G8" s="230"/>
      <c r="H8" s="230"/>
      <c r="I8" s="230"/>
      <c r="J8" s="230"/>
      <c r="K8" s="230"/>
      <c r="L8" s="230"/>
      <c r="M8" s="230"/>
    </row>
    <row r="9" spans="2:13" ht="18" customHeight="1">
      <c r="B9" s="316" t="s">
        <v>35</v>
      </c>
      <c r="C9" s="317"/>
      <c r="D9" s="317"/>
      <c r="E9" s="317"/>
      <c r="F9" s="317"/>
      <c r="G9" s="317"/>
      <c r="H9" s="317"/>
      <c r="I9" s="317"/>
      <c r="J9" s="317"/>
      <c r="K9" s="317"/>
      <c r="L9" s="317"/>
      <c r="M9" s="318"/>
    </row>
    <row r="10" spans="2:13" ht="18" customHeight="1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2:13" ht="17.100000000000001" customHeight="1">
      <c r="B11" s="6" t="s">
        <v>36</v>
      </c>
      <c r="C11" s="291" t="str">
        <f>'SEMESTRE N°1'!A30</f>
        <v>NGUEMA ELLA Yvan Clarence</v>
      </c>
      <c r="D11" s="292"/>
      <c r="E11" s="292"/>
      <c r="F11" s="6" t="s">
        <v>37</v>
      </c>
      <c r="G11" s="297" t="str">
        <f>B39</f>
        <v>Licence Pro. Informatique-1ère année Tronc commun</v>
      </c>
      <c r="H11" s="297"/>
      <c r="I11" s="297"/>
      <c r="J11" s="297"/>
      <c r="K11" s="297"/>
      <c r="L11" s="297"/>
    </row>
    <row r="12" spans="2:13" ht="17.100000000000001" customHeight="1">
      <c r="B12" s="246" t="s">
        <v>38</v>
      </c>
      <c r="C12" s="246"/>
      <c r="D12" s="305" t="str">
        <f>'SEMESTRE N°1'!B30</f>
        <v>31/01/2006</v>
      </c>
      <c r="E12" s="294"/>
      <c r="F12" s="6" t="s">
        <v>29</v>
      </c>
      <c r="G12" s="294" t="str">
        <f>'SEMESTRE N°1'!E31</f>
        <v>TC-1</v>
      </c>
      <c r="H12" s="294"/>
      <c r="I12" s="294"/>
      <c r="J12" s="294"/>
      <c r="K12" s="294"/>
      <c r="L12" s="294"/>
    </row>
    <row r="13" spans="2:13" ht="17.100000000000001" customHeight="1">
      <c r="B13" s="6" t="s">
        <v>39</v>
      </c>
      <c r="C13" s="291" t="str">
        <f>'SEMESTRE N°1'!C30</f>
        <v>Gabonaise</v>
      </c>
      <c r="D13" s="292"/>
      <c r="E13" s="292"/>
      <c r="F13" s="6" t="s">
        <v>40</v>
      </c>
      <c r="G13" s="249"/>
      <c r="H13" s="249"/>
      <c r="I13" s="249"/>
      <c r="J13" s="249"/>
      <c r="K13" s="249"/>
      <c r="L13" s="249"/>
    </row>
    <row r="14" spans="2:13" ht="17.100000000000001" customHeight="1">
      <c r="B14" s="6" t="s">
        <v>41</v>
      </c>
      <c r="C14" s="296" t="str">
        <f>'SEMESTRE N°1'!D30</f>
        <v>222024</v>
      </c>
      <c r="D14" s="297"/>
      <c r="E14" s="297"/>
      <c r="F14" s="6" t="s">
        <v>42</v>
      </c>
      <c r="G14" s="249"/>
      <c r="H14" s="249"/>
      <c r="I14" s="249"/>
      <c r="J14" s="249"/>
      <c r="K14" s="249"/>
      <c r="L14" s="249"/>
    </row>
    <row r="15" spans="2:13">
      <c r="B15" s="281" t="s">
        <v>43</v>
      </c>
      <c r="C15" s="281"/>
      <c r="D15" s="281"/>
      <c r="E15" s="282" t="s">
        <v>17</v>
      </c>
      <c r="F15" s="283"/>
      <c r="G15" s="342" t="s">
        <v>44</v>
      </c>
      <c r="H15" s="343"/>
      <c r="I15" s="343"/>
      <c r="J15" s="343"/>
      <c r="K15" s="343"/>
      <c r="L15" s="343"/>
      <c r="M15" s="344"/>
    </row>
    <row r="16" spans="2:13">
      <c r="B16" s="281"/>
      <c r="C16" s="281"/>
      <c r="D16" s="281"/>
      <c r="E16" s="282"/>
      <c r="F16" s="283"/>
      <c r="G16" s="372" t="s">
        <v>83</v>
      </c>
      <c r="H16" s="372"/>
      <c r="I16" s="372"/>
      <c r="J16" s="399" t="s">
        <v>46</v>
      </c>
      <c r="K16" s="400"/>
      <c r="L16" s="401"/>
      <c r="M16" s="374" t="s">
        <v>47</v>
      </c>
    </row>
    <row r="17" spans="2:13">
      <c r="B17" s="233" t="s">
        <v>48</v>
      </c>
      <c r="C17" s="273" t="s">
        <v>49</v>
      </c>
      <c r="D17" s="273"/>
      <c r="E17" s="272" t="s">
        <v>49</v>
      </c>
      <c r="F17" s="272" t="s">
        <v>50</v>
      </c>
      <c r="G17" s="2" t="s">
        <v>51</v>
      </c>
      <c r="H17" s="272" t="s">
        <v>52</v>
      </c>
      <c r="I17" s="272"/>
      <c r="J17" s="119" t="s">
        <v>51</v>
      </c>
      <c r="K17" s="262" t="s">
        <v>52</v>
      </c>
      <c r="L17" s="337"/>
      <c r="M17" s="340"/>
    </row>
    <row r="18" spans="2:13">
      <c r="B18" s="234"/>
      <c r="C18" s="272"/>
      <c r="D18" s="274"/>
      <c r="E18" s="272"/>
      <c r="F18" s="272"/>
      <c r="G18" s="60" t="s">
        <v>53</v>
      </c>
      <c r="H18" s="60" t="s">
        <v>53</v>
      </c>
      <c r="I18" s="60" t="s">
        <v>50</v>
      </c>
      <c r="J18" s="87" t="s">
        <v>53</v>
      </c>
      <c r="K18" s="87" t="s">
        <v>53</v>
      </c>
      <c r="L18" s="87" t="s">
        <v>50</v>
      </c>
      <c r="M18" s="341"/>
    </row>
    <row r="19" spans="2:13">
      <c r="B19" s="234"/>
      <c r="C19" s="370" t="s">
        <v>54</v>
      </c>
      <c r="D19" s="364" t="s">
        <v>55</v>
      </c>
      <c r="E19" s="120" t="s">
        <v>56</v>
      </c>
      <c r="F19" s="9">
        <v>3</v>
      </c>
      <c r="G19" s="108">
        <f>[1]BULL_N21!G19</f>
        <v>6.6</v>
      </c>
      <c r="H19" s="358">
        <f>IF(AND(G19&gt;=7, G20&gt;=7), ROUND(((F19*G19) + (F20*G20)) / (F19 + F20), 2), 0)</f>
        <v>0</v>
      </c>
      <c r="I19" s="358">
        <f>IF(H19&gt;9.99,(F19+F20),0)</f>
        <v>0</v>
      </c>
      <c r="J19" s="165">
        <f>IF(AND(G19&lt;10, H19&lt;10), 'SEMESTRE N°1'!G30, IF(AND(G19&gt;=10, H19&gt;=10), G19, IF(AND(G19&gt;=10, H19&lt;10), G19, IF(AND(G19&lt;10, H19&gt;=10), G19, ""))))</f>
        <v>17</v>
      </c>
      <c r="K19" s="293">
        <f>IF(AND(J19&gt;=7, J20&gt;=7), ROUND(((F19*J19) + (F20*J20)) / (F19 + F20), 2), 0)</f>
        <v>14</v>
      </c>
      <c r="L19" s="293">
        <f>IF(K19&gt;9.99,(F19+F20),0)</f>
        <v>6</v>
      </c>
      <c r="M19" s="263" t="str">
        <f>IF(H19&gt;9.99,"Validé","Non validé")</f>
        <v>Non validé</v>
      </c>
    </row>
    <row r="20" spans="2:13">
      <c r="B20" s="234"/>
      <c r="C20" s="370"/>
      <c r="D20" s="367"/>
      <c r="E20" s="120" t="s">
        <v>57</v>
      </c>
      <c r="F20" s="9">
        <v>3</v>
      </c>
      <c r="G20" s="108">
        <f>[1]BULL_N21!G20</f>
        <v>3.6</v>
      </c>
      <c r="H20" s="359"/>
      <c r="I20" s="358"/>
      <c r="J20" s="165">
        <f>IF(AND(G20&lt;10, H19&lt;10), 'SEMESTRE N°1'!J30, IF(AND(G20&gt;=10, H19&gt;=10), G20, IF(AND(G20&gt;=10, H19&lt;10), G20, IF(AND(G20&lt;10, H19&gt;=10), G20, ""))))</f>
        <v>11</v>
      </c>
      <c r="K20" s="293"/>
      <c r="L20" s="293"/>
      <c r="M20" s="263"/>
    </row>
    <row r="21" spans="2:13">
      <c r="B21" s="234"/>
      <c r="C21" s="370" t="s">
        <v>58</v>
      </c>
      <c r="D21" s="364" t="s">
        <v>59</v>
      </c>
      <c r="E21" s="120" t="s">
        <v>169</v>
      </c>
      <c r="F21" s="9">
        <v>5</v>
      </c>
      <c r="G21" s="108">
        <f>[1]BULL_N21!G21</f>
        <v>8.4</v>
      </c>
      <c r="H21" s="358">
        <f>IF(AND(G21&gt;=7, G22&gt;=7, G23&gt;=7), ROUND(((F21*G21) + (F22*G22)+ (F23*G23)) / (F21 + F22+F23), 2), 0)</f>
        <v>0</v>
      </c>
      <c r="I21" s="358">
        <f>IF(H21&gt;9.99,(F21+F22+F23),0)</f>
        <v>0</v>
      </c>
      <c r="J21" s="159">
        <f>IF(AND(G21&lt;10, H21&lt;10), 'SEMESTRE N°1'!M30, IF(AND(G21&gt;=10, H21&gt;=10), G21, IF(AND(G21&gt;=10, H21&lt;10), G21, IF(AND(G21&lt;10, H21&gt;=10), G21, ""))))</f>
        <v>10</v>
      </c>
      <c r="K21" s="326">
        <f>IF(AND(J21&gt;=7, J22&gt;=7, J23&gt;=7), ROUND(((F21*J21) + (F22*J22)+ (F23*J23)) / (F21 + F22+F23), 2), 0)</f>
        <v>0</v>
      </c>
      <c r="L21" s="323">
        <f>IF(K21&gt;9.99,(F21+F22+F23),0)</f>
        <v>0</v>
      </c>
      <c r="M21" s="251" t="str">
        <f>IF(H21&gt;9.99,"Validé","Non validé")</f>
        <v>Non validé</v>
      </c>
    </row>
    <row r="22" spans="2:13">
      <c r="B22" s="234"/>
      <c r="C22" s="370"/>
      <c r="D22" s="366"/>
      <c r="E22" s="120" t="s">
        <v>61</v>
      </c>
      <c r="F22" s="9">
        <v>3</v>
      </c>
      <c r="G22" s="108">
        <f>[1]BULL_N21!G22</f>
        <v>9.3000000000000007</v>
      </c>
      <c r="H22" s="359"/>
      <c r="I22" s="358"/>
      <c r="J22" s="165">
        <f>IF(AND(G22&lt;10, H21&lt;10), 'SEMESTRE N°1'!P30, IF(AND(G22&gt;=10, H21&gt;=10), G22, IF(AND(G22&gt;=10, H21&lt;10), G22, IF(AND(G22&lt;10, H21&gt;=10), G22, ""))))</f>
        <v>7</v>
      </c>
      <c r="K22" s="326"/>
      <c r="L22" s="324"/>
      <c r="M22" s="252"/>
    </row>
    <row r="23" spans="2:13">
      <c r="B23" s="234"/>
      <c r="C23" s="370"/>
      <c r="D23" s="365"/>
      <c r="E23" s="120" t="s">
        <v>62</v>
      </c>
      <c r="F23" s="9">
        <v>3</v>
      </c>
      <c r="G23" s="108">
        <f>[1]BULL_N21!G23</f>
        <v>4.3</v>
      </c>
      <c r="H23" s="359"/>
      <c r="I23" s="358"/>
      <c r="J23" s="165">
        <f>G23</f>
        <v>4.3</v>
      </c>
      <c r="K23" s="326"/>
      <c r="L23" s="325"/>
      <c r="M23" s="253"/>
    </row>
    <row r="24" spans="2:13">
      <c r="B24" s="234"/>
      <c r="C24" s="370" t="s">
        <v>63</v>
      </c>
      <c r="D24" s="364" t="s">
        <v>64</v>
      </c>
      <c r="E24" s="120" t="s">
        <v>65</v>
      </c>
      <c r="F24" s="9">
        <v>4</v>
      </c>
      <c r="G24" s="108">
        <f>[1]BULL_N21!G24</f>
        <v>2.9</v>
      </c>
      <c r="H24" s="358">
        <f>IF(AND(G24&gt;=7, G25&gt;=7), ROUND(((F24*G24) + (F25*G25)) / (F24 + F25), 2), 0)</f>
        <v>0</v>
      </c>
      <c r="I24" s="358">
        <f>IF(H24&gt;9.99,(F24+F25),0)</f>
        <v>0</v>
      </c>
      <c r="J24" s="165">
        <f>IF(AND(G24&lt;10, H24&lt;10), 'SEMESTRE N°1'!V30, IF(AND(G24&gt;=10, H24&gt;=10), G24, IF(AND(G24&gt;=10, H24&lt;10), G24, IF(AND(G24&lt;10, H24&gt;=10), G24, ""))))</f>
        <v>8</v>
      </c>
      <c r="K24" s="348">
        <f>IF(AND(J24&gt;=7, J25&gt;=7), ROUND(((F24*J24) + (F25*J25)) / (F24 + F25), 2), 0)</f>
        <v>10</v>
      </c>
      <c r="L24" s="348">
        <f>IF(K24&gt;9.99,(F24+F25),0)</f>
        <v>8</v>
      </c>
      <c r="M24" s="254" t="str">
        <f>IF(H24&gt;9.99,"Validé","Non validé")</f>
        <v>Non validé</v>
      </c>
    </row>
    <row r="25" spans="2:13">
      <c r="B25" s="234"/>
      <c r="C25" s="370"/>
      <c r="D25" s="365"/>
      <c r="E25" s="120" t="s">
        <v>66</v>
      </c>
      <c r="F25" s="9">
        <v>4</v>
      </c>
      <c r="G25" s="108">
        <f>[1]BULL_N21!G25</f>
        <v>7.3</v>
      </c>
      <c r="H25" s="359"/>
      <c r="I25" s="358"/>
      <c r="J25" s="165">
        <f>IF(AND(G25&lt;10, H24&lt;10), 'SEMESTRE N°1'!Y30, IF(AND(G25&gt;=10, H24&gt;=10), G25, IF(AND(G25&gt;=10, H24&lt;10), G25, IF(AND(G25&lt;10, H24&gt;=10), G25, ""))))</f>
        <v>12</v>
      </c>
      <c r="K25" s="349"/>
      <c r="L25" s="349"/>
      <c r="M25" s="255"/>
    </row>
    <row r="26" spans="2:13" ht="17.399999999999999" customHeight="1">
      <c r="B26" s="234"/>
      <c r="C26" s="370" t="s">
        <v>67</v>
      </c>
      <c r="D26" s="378" t="s">
        <v>68</v>
      </c>
      <c r="E26" s="120" t="s">
        <v>69</v>
      </c>
      <c r="F26" s="9">
        <v>2</v>
      </c>
      <c r="G26" s="108">
        <f>[1]BULL_N21!G26</f>
        <v>7.6000000000000005</v>
      </c>
      <c r="H26" s="358">
        <f>IF(AND(G26&gt;=7, G27&gt;=7), ROUND(((F26*G26) + (F27*G27)) / (F26 + F27), 2), 0)</f>
        <v>11.77</v>
      </c>
      <c r="I26" s="358">
        <f>IF(H26&gt;9.99,(F26+F27),0)</f>
        <v>5</v>
      </c>
      <c r="J26" s="159">
        <f>IF(AND(G26&lt;10, H26&lt;10), 'SEMESTRE N°1'!AB31, IF(AND(G26&gt;=10, H26&gt;=10), G26, IF(AND(G26&gt;=10, H26&lt;10), G26, IF(AND(G26&lt;10, H26&gt;=10), G26, ""))))</f>
        <v>7.6000000000000005</v>
      </c>
      <c r="K26" s="270">
        <f>IF(AND(J26&gt;=7, J27&gt;=7), ROUND(((F26*J26) + (F27*J27)) / (F26 + F27), 2), 0)</f>
        <v>11.77</v>
      </c>
      <c r="L26" s="270">
        <f>IF(K26&gt;9.99,(F26+F27),0)</f>
        <v>5</v>
      </c>
      <c r="M26" s="254" t="str">
        <f>IF(H26&gt;9.99,"Validé","Non validé")</f>
        <v>Validé</v>
      </c>
    </row>
    <row r="27" spans="2:13" ht="20.100000000000001" customHeight="1">
      <c r="B27" s="234"/>
      <c r="C27" s="370"/>
      <c r="D27" s="365"/>
      <c r="E27" s="120" t="s">
        <v>70</v>
      </c>
      <c r="F27" s="9">
        <v>3</v>
      </c>
      <c r="G27" s="108">
        <f>[1]BULL_N21!G27</f>
        <v>14.55</v>
      </c>
      <c r="H27" s="359"/>
      <c r="I27" s="358"/>
      <c r="J27" s="159">
        <f>IF(AND(G27&lt;10, H26&lt;10), 'SEMESTRE N°1'!AE31, IF(AND(G27&gt;=10, H26&gt;=10), G27, IF(AND(G27&gt;=10, H26&lt;10), G27, IF(AND(G27&lt;10, H26&gt;=10), G27, ""))))</f>
        <v>14.55</v>
      </c>
      <c r="K27" s="271"/>
      <c r="L27" s="322"/>
      <c r="M27" s="255"/>
    </row>
    <row r="28" spans="2:13" ht="21.6" customHeight="1">
      <c r="B28" s="234"/>
      <c r="C28" s="284" t="s">
        <v>71</v>
      </c>
      <c r="D28" s="285"/>
      <c r="E28" s="284"/>
      <c r="F28" s="19">
        <f>F19+F20+F21+F22+F23+F24+F25+F26+F27</f>
        <v>30</v>
      </c>
      <c r="G28" s="3"/>
      <c r="H28" s="117">
        <f>ROUND((H19+H21+H24+H26)/4,2)</f>
        <v>2.94</v>
      </c>
      <c r="I28" s="134">
        <f>I26+I24+I21+I19</f>
        <v>5</v>
      </c>
      <c r="J28" s="91"/>
      <c r="K28" s="111">
        <f>ROUND((K19+K21+K24+K26)/4,2)</f>
        <v>8.94</v>
      </c>
      <c r="L28" s="164">
        <f>SUM(L19:L27)</f>
        <v>19</v>
      </c>
      <c r="M28" s="88"/>
    </row>
    <row r="29" spans="2:13" ht="14.25" customHeight="1">
      <c r="C29" s="11"/>
      <c r="G29" s="11"/>
    </row>
    <row r="30" spans="2:13" ht="17.100000000000001" customHeight="1">
      <c r="B30" s="264" t="s">
        <v>72</v>
      </c>
      <c r="C30" s="265"/>
      <c r="D30" s="21">
        <f>L28</f>
        <v>19</v>
      </c>
      <c r="E30" s="12"/>
      <c r="F30" s="13"/>
      <c r="G30" s="14"/>
      <c r="H30" s="15"/>
      <c r="I30" s="15"/>
      <c r="K30" s="398" t="s">
        <v>73</v>
      </c>
      <c r="L30" s="398"/>
      <c r="M30" s="398"/>
    </row>
    <row r="31" spans="2:13" ht="17.100000000000001" customHeight="1">
      <c r="B31" s="266" t="s">
        <v>74</v>
      </c>
      <c r="C31" s="267"/>
      <c r="D31" s="22" t="str">
        <f>IF(D30=F28,"Semestre validé","Semestre non validé")</f>
        <v>Semestre non validé</v>
      </c>
      <c r="E31" s="13"/>
      <c r="F31" s="13"/>
      <c r="G31" s="16"/>
      <c r="H31" s="36"/>
      <c r="I31" s="36"/>
      <c r="J31" s="36"/>
      <c r="K31" s="36"/>
      <c r="L31" s="13"/>
    </row>
    <row r="32" spans="2:13" ht="17.100000000000001" customHeight="1">
      <c r="B32" s="266" t="s">
        <v>75</v>
      </c>
      <c r="C32" s="267"/>
      <c r="D32" s="1">
        <v>0</v>
      </c>
      <c r="E32" s="13"/>
      <c r="F32" s="13"/>
      <c r="G32" s="16"/>
      <c r="H32" s="13"/>
      <c r="I32" s="13"/>
      <c r="J32" s="13"/>
    </row>
    <row r="33" spans="2:13" ht="12.75" customHeight="1">
      <c r="B33" s="59"/>
      <c r="C33" s="59"/>
      <c r="D33" s="1"/>
      <c r="E33" s="13"/>
      <c r="F33" s="13"/>
      <c r="G33" s="16"/>
      <c r="H33" s="13"/>
      <c r="I33" s="13"/>
      <c r="J33" s="13"/>
    </row>
    <row r="34" spans="2:13" ht="17.100000000000001" customHeight="1">
      <c r="B34" s="59"/>
      <c r="C34" s="59"/>
      <c r="D34" s="1"/>
      <c r="E34" s="13"/>
      <c r="F34" s="13"/>
      <c r="G34" s="16"/>
      <c r="H34" s="13"/>
      <c r="I34" s="13"/>
      <c r="J34" s="13"/>
    </row>
    <row r="35" spans="2:13" ht="17.100000000000001" customHeight="1">
      <c r="B35" s="123"/>
      <c r="C35" s="124"/>
      <c r="D35" s="125"/>
      <c r="E35" s="125"/>
      <c r="F35" s="125"/>
      <c r="G35" s="402" t="s">
        <v>76</v>
      </c>
      <c r="H35" s="402"/>
      <c r="I35" s="402"/>
      <c r="J35" s="402"/>
      <c r="K35" s="402"/>
      <c r="L35" s="402"/>
      <c r="M35" s="402"/>
    </row>
    <row r="36" spans="2:13" ht="17.100000000000001" customHeight="1">
      <c r="B36" s="308" t="s">
        <v>77</v>
      </c>
      <c r="C36" s="308"/>
      <c r="D36" s="308"/>
      <c r="E36" s="308"/>
      <c r="F36" s="308"/>
      <c r="G36" s="308"/>
      <c r="H36" s="308"/>
      <c r="I36" s="308"/>
      <c r="J36" s="308"/>
      <c r="K36" s="308"/>
      <c r="L36" s="308"/>
      <c r="M36" s="308"/>
    </row>
    <row r="37" spans="2:13">
      <c r="B37" s="308"/>
      <c r="C37" s="308"/>
      <c r="D37" s="308"/>
      <c r="E37" s="308"/>
      <c r="F37" s="308"/>
      <c r="G37" s="308"/>
      <c r="H37" s="308"/>
      <c r="I37" s="308"/>
      <c r="J37" s="308"/>
      <c r="K37" s="308"/>
      <c r="L37" s="308"/>
      <c r="M37" s="308"/>
    </row>
    <row r="39" spans="2:13" hidden="1">
      <c r="B39" s="18" t="s">
        <v>78</v>
      </c>
    </row>
  </sheetData>
  <mergeCells count="58">
    <mergeCell ref="B30:C30"/>
    <mergeCell ref="B31:C31"/>
    <mergeCell ref="B32:C32"/>
    <mergeCell ref="G35:M35"/>
    <mergeCell ref="C28:E28"/>
    <mergeCell ref="B17:B28"/>
    <mergeCell ref="C17:D18"/>
    <mergeCell ref="E17:E18"/>
    <mergeCell ref="F17:F18"/>
    <mergeCell ref="H17:I17"/>
    <mergeCell ref="K17:L17"/>
    <mergeCell ref="L26:L27"/>
    <mergeCell ref="C24:C25"/>
    <mergeCell ref="D24:D25"/>
    <mergeCell ref="H24:H25"/>
    <mergeCell ref="I24:I25"/>
    <mergeCell ref="K24:K25"/>
    <mergeCell ref="L24:L25"/>
    <mergeCell ref="C26:C27"/>
    <mergeCell ref="D26:D27"/>
    <mergeCell ref="H26:H27"/>
    <mergeCell ref="I26:I27"/>
    <mergeCell ref="K26:K27"/>
    <mergeCell ref="L19:L20"/>
    <mergeCell ref="L21:L23"/>
    <mergeCell ref="C19:C20"/>
    <mergeCell ref="D19:D20"/>
    <mergeCell ref="H19:H20"/>
    <mergeCell ref="I19:I20"/>
    <mergeCell ref="K19:K20"/>
    <mergeCell ref="C21:C23"/>
    <mergeCell ref="D21:D23"/>
    <mergeCell ref="H21:H23"/>
    <mergeCell ref="I21:I23"/>
    <mergeCell ref="K21:K23"/>
    <mergeCell ref="G15:M15"/>
    <mergeCell ref="E5:M8"/>
    <mergeCell ref="C11:E11"/>
    <mergeCell ref="G11:L11"/>
    <mergeCell ref="B12:C12"/>
    <mergeCell ref="D12:E12"/>
    <mergeCell ref="G12:L12"/>
    <mergeCell ref="B36:M37"/>
    <mergeCell ref="K30:M30"/>
    <mergeCell ref="B9:M9"/>
    <mergeCell ref="M16:M18"/>
    <mergeCell ref="M19:M20"/>
    <mergeCell ref="M21:M23"/>
    <mergeCell ref="M24:M25"/>
    <mergeCell ref="M26:M27"/>
    <mergeCell ref="C13:E13"/>
    <mergeCell ref="G13:L13"/>
    <mergeCell ref="C14:E14"/>
    <mergeCell ref="G14:L14"/>
    <mergeCell ref="B15:D16"/>
    <mergeCell ref="E15:F16"/>
    <mergeCell ref="G16:I16"/>
    <mergeCell ref="J16:L16"/>
  </mergeCells>
  <pageMargins left="0" right="0" top="0" bottom="0" header="0" footer="0"/>
  <pageSetup paperSize="9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D1A77-94D4-4A00-B366-8E27B918F22C}">
  <sheetPr codeName="Feuil24">
    <tabColor rgb="FF7030A0"/>
  </sheetPr>
  <dimension ref="B5:M39"/>
  <sheetViews>
    <sheetView showGridLines="0" view="pageLayout" topLeftCell="A3" zoomScaleNormal="100" workbookViewId="0">
      <selection activeCell="D12" sqref="D12:E12"/>
    </sheetView>
  </sheetViews>
  <sheetFormatPr baseColWidth="10" defaultColWidth="10.88671875" defaultRowHeight="14.4"/>
  <cols>
    <col min="1" max="1" width="4.6640625" style="5" customWidth="1"/>
    <col min="2" max="2" width="10.88671875" style="5"/>
    <col min="3" max="3" width="10.33203125" style="5" customWidth="1"/>
    <col min="4" max="4" width="15" style="5" customWidth="1"/>
    <col min="5" max="5" width="29.6640625" style="5" customWidth="1"/>
    <col min="6" max="6" width="10.6640625" style="5" customWidth="1"/>
    <col min="7" max="7" width="7.6640625" style="5" customWidth="1"/>
    <col min="8" max="9" width="6.6640625" style="5" customWidth="1"/>
    <col min="10" max="12" width="8.6640625" style="5" customWidth="1"/>
    <col min="13" max="13" width="12.6640625" style="5" customWidth="1"/>
    <col min="14" max="14" width="4.6640625" style="5" customWidth="1"/>
    <col min="15" max="16384" width="10.88671875" style="5"/>
  </cols>
  <sheetData>
    <row r="5" spans="2:13">
      <c r="E5" s="288" t="s">
        <v>162</v>
      </c>
      <c r="F5" s="229"/>
      <c r="G5" s="229"/>
      <c r="H5" s="229"/>
      <c r="I5" s="229"/>
      <c r="J5" s="229"/>
      <c r="K5" s="229"/>
      <c r="L5" s="229"/>
      <c r="M5" s="229"/>
    </row>
    <row r="6" spans="2:13">
      <c r="E6" s="229"/>
      <c r="F6" s="229"/>
      <c r="G6" s="229"/>
      <c r="H6" s="229"/>
      <c r="I6" s="229"/>
      <c r="J6" s="229"/>
      <c r="K6" s="229"/>
      <c r="L6" s="229"/>
      <c r="M6" s="229"/>
    </row>
    <row r="7" spans="2:13">
      <c r="E7" s="229"/>
      <c r="F7" s="229"/>
      <c r="G7" s="229"/>
      <c r="H7" s="229"/>
      <c r="I7" s="229"/>
      <c r="J7" s="229"/>
      <c r="K7" s="229"/>
      <c r="L7" s="229"/>
      <c r="M7" s="229"/>
    </row>
    <row r="8" spans="2:13">
      <c r="E8" s="230"/>
      <c r="F8" s="230"/>
      <c r="G8" s="230"/>
      <c r="H8" s="230"/>
      <c r="I8" s="230"/>
      <c r="J8" s="230"/>
      <c r="K8" s="230"/>
      <c r="L8" s="230"/>
      <c r="M8" s="230"/>
    </row>
    <row r="9" spans="2:13" ht="18" customHeight="1">
      <c r="B9" s="316" t="s">
        <v>35</v>
      </c>
      <c r="C9" s="317"/>
      <c r="D9" s="317"/>
      <c r="E9" s="317"/>
      <c r="F9" s="317"/>
      <c r="G9" s="317"/>
      <c r="H9" s="317"/>
      <c r="I9" s="317"/>
      <c r="J9" s="317"/>
      <c r="K9" s="317"/>
      <c r="L9" s="317"/>
      <c r="M9" s="318"/>
    </row>
    <row r="10" spans="2:13" ht="13.5" customHeight="1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2:13" ht="17.100000000000001" customHeight="1">
      <c r="B11" s="6" t="s">
        <v>36</v>
      </c>
      <c r="C11" s="291" t="str">
        <f>'SEMESTRE N°1'!A31</f>
        <v>NGUIMBI Gloria Esther</v>
      </c>
      <c r="D11" s="292"/>
      <c r="E11" s="292"/>
      <c r="F11" s="6" t="s">
        <v>37</v>
      </c>
      <c r="G11" s="297" t="str">
        <f>B39</f>
        <v>Licence Pro. Informatique-1ère année Tronc commun</v>
      </c>
      <c r="H11" s="297"/>
      <c r="I11" s="297"/>
      <c r="J11" s="297"/>
      <c r="K11" s="297"/>
      <c r="L11" s="297"/>
    </row>
    <row r="12" spans="2:13" ht="17.100000000000001" customHeight="1">
      <c r="B12" s="246" t="s">
        <v>38</v>
      </c>
      <c r="C12" s="246"/>
      <c r="D12" s="296" t="str">
        <f>'SEMESTRE N°1'!B31</f>
        <v>16/06/2006</v>
      </c>
      <c r="E12" s="297"/>
      <c r="F12" s="6" t="s">
        <v>29</v>
      </c>
      <c r="G12" s="294" t="str">
        <f>'SEMESTRE N°1'!E32</f>
        <v>TC-1</v>
      </c>
      <c r="H12" s="294"/>
      <c r="I12" s="294"/>
      <c r="J12" s="294"/>
      <c r="K12" s="294"/>
      <c r="L12" s="294"/>
    </row>
    <row r="13" spans="2:13" ht="17.100000000000001" customHeight="1">
      <c r="B13" s="6" t="s">
        <v>39</v>
      </c>
      <c r="C13" s="291" t="str">
        <f>'SEMESTRE N°1'!C31</f>
        <v>Gabonaise</v>
      </c>
      <c r="D13" s="292"/>
      <c r="E13" s="292"/>
      <c r="F13" s="6" t="s">
        <v>40</v>
      </c>
      <c r="G13" s="249"/>
      <c r="H13" s="249"/>
      <c r="I13" s="249"/>
      <c r="J13" s="249"/>
      <c r="K13" s="249"/>
      <c r="L13" s="249"/>
    </row>
    <row r="14" spans="2:13" ht="17.100000000000001" customHeight="1">
      <c r="B14" s="6" t="s">
        <v>41</v>
      </c>
      <c r="C14" s="296" t="str">
        <f>'SEMESTRE N°1'!D31</f>
        <v>232024</v>
      </c>
      <c r="D14" s="297"/>
      <c r="E14" s="297"/>
      <c r="F14" s="6" t="s">
        <v>42</v>
      </c>
      <c r="G14" s="249"/>
      <c r="H14" s="249"/>
      <c r="I14" s="249"/>
      <c r="J14" s="249"/>
      <c r="K14" s="249"/>
      <c r="L14" s="249"/>
    </row>
    <row r="15" spans="2:13">
      <c r="B15" s="281" t="s">
        <v>43</v>
      </c>
      <c r="C15" s="281"/>
      <c r="D15" s="281"/>
      <c r="E15" s="282" t="s">
        <v>17</v>
      </c>
      <c r="F15" s="283"/>
      <c r="G15" s="342" t="s">
        <v>44</v>
      </c>
      <c r="H15" s="343"/>
      <c r="I15" s="343"/>
      <c r="J15" s="343"/>
      <c r="K15" s="343"/>
      <c r="L15" s="343"/>
      <c r="M15" s="344"/>
    </row>
    <row r="16" spans="2:13">
      <c r="B16" s="281"/>
      <c r="C16" s="281"/>
      <c r="D16" s="281"/>
      <c r="E16" s="282"/>
      <c r="F16" s="283"/>
      <c r="G16" s="240" t="s">
        <v>83</v>
      </c>
      <c r="H16" s="240"/>
      <c r="I16" s="240"/>
      <c r="J16" s="379" t="s">
        <v>46</v>
      </c>
      <c r="K16" s="380"/>
      <c r="L16" s="381"/>
      <c r="M16" s="339" t="s">
        <v>47</v>
      </c>
    </row>
    <row r="17" spans="2:13">
      <c r="B17" s="233" t="s">
        <v>48</v>
      </c>
      <c r="C17" s="273" t="s">
        <v>49</v>
      </c>
      <c r="D17" s="273"/>
      <c r="E17" s="272" t="s">
        <v>49</v>
      </c>
      <c r="F17" s="272" t="s">
        <v>50</v>
      </c>
      <c r="G17" s="2" t="s">
        <v>51</v>
      </c>
      <c r="H17" s="272" t="s">
        <v>52</v>
      </c>
      <c r="I17" s="272"/>
      <c r="J17" s="119" t="s">
        <v>51</v>
      </c>
      <c r="K17" s="262" t="s">
        <v>52</v>
      </c>
      <c r="L17" s="337"/>
      <c r="M17" s="340"/>
    </row>
    <row r="18" spans="2:13">
      <c r="B18" s="234"/>
      <c r="C18" s="272"/>
      <c r="D18" s="274"/>
      <c r="E18" s="272"/>
      <c r="F18" s="272"/>
      <c r="G18" s="60" t="s">
        <v>53</v>
      </c>
      <c r="H18" s="60" t="s">
        <v>53</v>
      </c>
      <c r="I18" s="60" t="s">
        <v>50</v>
      </c>
      <c r="J18" s="87" t="s">
        <v>53</v>
      </c>
      <c r="K18" s="87" t="s">
        <v>53</v>
      </c>
      <c r="L18" s="87" t="s">
        <v>50</v>
      </c>
      <c r="M18" s="341"/>
    </row>
    <row r="19" spans="2:13">
      <c r="B19" s="234"/>
      <c r="C19" s="363" t="s">
        <v>54</v>
      </c>
      <c r="D19" s="364" t="s">
        <v>55</v>
      </c>
      <c r="E19" s="120" t="s">
        <v>56</v>
      </c>
      <c r="F19" s="9">
        <v>3</v>
      </c>
      <c r="G19" s="94">
        <f>[1]BULL_N22!G19</f>
        <v>12.4</v>
      </c>
      <c r="H19" s="358">
        <f>IF(AND(G19&gt;=7, G20&gt;=7), ROUND(((F19*G19) + (F20*G20)) / (F19 + F20), 2), 0)</f>
        <v>0</v>
      </c>
      <c r="I19" s="406">
        <f>IF(H19&gt;9.99,(F19+F20),0)</f>
        <v>0</v>
      </c>
      <c r="J19" s="160">
        <f>IF(AND(G19&lt;10, H19&lt;10), 'SEMESTRE N°1'!G32, IF(AND(G19&gt;=10, H19&gt;=10), G19, IF(AND(G19&gt;=10, H19&lt;10), G19, IF(AND(G19&lt;10, H19&gt;=10), G19, ""))))</f>
        <v>12.4</v>
      </c>
      <c r="K19" s="407">
        <f>IF(AND(J19&gt;=7, J20&gt;=7), ROUND(((F19*J19) + (F20*J20)) / (F19 + F20), 2), 0)</f>
        <v>12.2</v>
      </c>
      <c r="L19" s="407">
        <f>IF(K19&gt;9.99,(F19+F20),0)</f>
        <v>6</v>
      </c>
      <c r="M19" s="263" t="str">
        <f>IF(K19&gt;9.99,"Validé","Non validé")</f>
        <v>Validé</v>
      </c>
    </row>
    <row r="20" spans="2:13">
      <c r="B20" s="234"/>
      <c r="C20" s="363"/>
      <c r="D20" s="367"/>
      <c r="E20" s="120" t="s">
        <v>57</v>
      </c>
      <c r="F20" s="9">
        <v>3</v>
      </c>
      <c r="G20" s="94">
        <f>[1]BULL_N22!G20</f>
        <v>2.2480000000000002</v>
      </c>
      <c r="H20" s="359"/>
      <c r="I20" s="406"/>
      <c r="J20" s="166">
        <f>IF(AND(G20&lt;10, H19&lt;10), 'SEMESTRE N°1'!J31, IF(AND(G20&gt;=10, H19&gt;=10), G20, IF(AND(G20&gt;=10, H19&lt;10), G20, IF(AND(G20&lt;10, H19&gt;=10), G20, ""))))</f>
        <v>12</v>
      </c>
      <c r="K20" s="407"/>
      <c r="L20" s="407"/>
      <c r="M20" s="263"/>
    </row>
    <row r="21" spans="2:13">
      <c r="B21" s="234"/>
      <c r="C21" s="363" t="s">
        <v>58</v>
      </c>
      <c r="D21" s="364" t="s">
        <v>59</v>
      </c>
      <c r="E21" s="120" t="s">
        <v>169</v>
      </c>
      <c r="F21" s="9">
        <v>5</v>
      </c>
      <c r="G21" s="94">
        <f>[1]BULL_N22!G21</f>
        <v>10</v>
      </c>
      <c r="H21" s="358">
        <f>IF(AND(G21&gt;=7, G22&gt;=7, G23&gt;=7), ROUND(((F21*G21) + (F22*G22)+ (F23*G23)) / (F21 + F22+F23), 2), 0)</f>
        <v>0</v>
      </c>
      <c r="I21" s="406">
        <f>IF(H21&gt;9.99,(F21+F22+F23),0)</f>
        <v>0</v>
      </c>
      <c r="J21" s="160">
        <f>IF(AND(G21&lt;10, H21&lt;10), 'SEMESTRE N°1'!M31, IF(AND(G21&gt;=10, H21&gt;=10), G21, IF(AND(G21&gt;=10, H21&lt;10), G21, IF(AND(G21&lt;10, H21&gt;=10), G21, ""))))</f>
        <v>10</v>
      </c>
      <c r="K21" s="408">
        <f>IF(AND(J21&gt;=7, J22&gt;=7, J23&gt;=7), ROUND(((F21*J21) + (F22*J22)+ (F23*J23)) / (F21 + F22+F23), 2), 0)</f>
        <v>0</v>
      </c>
      <c r="L21" s="403">
        <f>IF(K21&gt;9.99,(F21+F22+F23),0)</f>
        <v>0</v>
      </c>
      <c r="M21" s="251" t="str">
        <f>IF(K21&gt;9.99,"Validé","Non validé")</f>
        <v>Non validé</v>
      </c>
    </row>
    <row r="22" spans="2:13">
      <c r="B22" s="234"/>
      <c r="C22" s="363"/>
      <c r="D22" s="366"/>
      <c r="E22" s="120" t="s">
        <v>61</v>
      </c>
      <c r="F22" s="9">
        <v>3</v>
      </c>
      <c r="G22" s="94">
        <f>[1]BULL_N22!G22</f>
        <v>8.6999999999999993</v>
      </c>
      <c r="H22" s="359"/>
      <c r="I22" s="406"/>
      <c r="J22" s="166">
        <f>G22</f>
        <v>8.6999999999999993</v>
      </c>
      <c r="K22" s="408"/>
      <c r="L22" s="404"/>
      <c r="M22" s="252"/>
    </row>
    <row r="23" spans="2:13">
      <c r="B23" s="234"/>
      <c r="C23" s="363"/>
      <c r="D23" s="365"/>
      <c r="E23" s="120" t="s">
        <v>62</v>
      </c>
      <c r="F23" s="9">
        <v>3</v>
      </c>
      <c r="G23" s="94">
        <f>[1]BULL_N22!G23</f>
        <v>5.95</v>
      </c>
      <c r="H23" s="359"/>
      <c r="I23" s="406"/>
      <c r="J23" s="166">
        <f>G23</f>
        <v>5.95</v>
      </c>
      <c r="K23" s="408"/>
      <c r="L23" s="405"/>
      <c r="M23" s="253"/>
    </row>
    <row r="24" spans="2:13">
      <c r="B24" s="234"/>
      <c r="C24" s="363" t="s">
        <v>63</v>
      </c>
      <c r="D24" s="364" t="s">
        <v>64</v>
      </c>
      <c r="E24" s="120" t="s">
        <v>65</v>
      </c>
      <c r="F24" s="9">
        <v>4</v>
      </c>
      <c r="G24" s="94">
        <f>[1]BULL_N22!G24</f>
        <v>3.4</v>
      </c>
      <c r="H24" s="358">
        <f>IF(AND(G24&gt;=7, G25&gt;=7), ROUND(((F24*G24) + (F25*G25)) / (F24 + F25), 2), 0)</f>
        <v>0</v>
      </c>
      <c r="I24" s="406">
        <f>IF(H24&gt;9.99,(F24+F25),0)</f>
        <v>0</v>
      </c>
      <c r="J24" s="166">
        <f>IF(AND(G24&lt;10, H24&lt;10), 'SEMESTRE N°1'!V31, IF(AND(G24&gt;=10, H24&gt;=10), G24, IF(AND(G24&gt;=10, H24&lt;10), G24, IF(AND(G24&lt;10, H24&gt;=10), G24, ""))))</f>
        <v>15</v>
      </c>
      <c r="K24" s="409">
        <f>IF(AND(J24&gt;=7, J25&gt;=7), ROUND(((F24*J24) + (F25*J25)) / (F24 + F25), 2), 0)</f>
        <v>12.5</v>
      </c>
      <c r="L24" s="409">
        <f>IF(K24&gt;9.99,(F24+F25),0)</f>
        <v>8</v>
      </c>
      <c r="M24" s="254" t="str">
        <f>IF(K24&gt;9.99,"Validé","Non validé")</f>
        <v>Validé</v>
      </c>
    </row>
    <row r="25" spans="2:13">
      <c r="B25" s="234"/>
      <c r="C25" s="363"/>
      <c r="D25" s="365"/>
      <c r="E25" s="120" t="s">
        <v>66</v>
      </c>
      <c r="F25" s="9">
        <v>4</v>
      </c>
      <c r="G25" s="94">
        <f>[1]BULL_N22!G25</f>
        <v>8.4640000000000004</v>
      </c>
      <c r="H25" s="359"/>
      <c r="I25" s="406"/>
      <c r="J25" s="166">
        <f>IF(AND(G25&lt;10, H24&lt;10), 'SEMESTRE N°1'!Y31, IF(AND(G25&gt;=10, H24&gt;=10), G25, IF(AND(G25&gt;=10, H24&lt;10), G25, IF(AND(G25&lt;10, H24&gt;=10), G25, ""))))</f>
        <v>10</v>
      </c>
      <c r="K25" s="410"/>
      <c r="L25" s="410"/>
      <c r="M25" s="255"/>
    </row>
    <row r="26" spans="2:13" ht="17.25" customHeight="1">
      <c r="B26" s="234"/>
      <c r="C26" s="363" t="s">
        <v>67</v>
      </c>
      <c r="D26" s="378" t="s">
        <v>68</v>
      </c>
      <c r="E26" s="120" t="s">
        <v>69</v>
      </c>
      <c r="F26" s="9">
        <v>2</v>
      </c>
      <c r="G26" s="94">
        <f>[1]BULL_N22!G26</f>
        <v>10.9</v>
      </c>
      <c r="H26" s="358">
        <f>IF(AND(G26&gt;=7, G27&gt;=7), ROUND(((F26*G26) + (F27*G27)) / (F26 + F27), 2), 0)</f>
        <v>12.73</v>
      </c>
      <c r="I26" s="406">
        <f>IF(H26&gt;9.99,(F26+F27),0)</f>
        <v>5</v>
      </c>
      <c r="J26" s="160">
        <f>IF(AND(G26&lt;10, H26&lt;10), 'SEMESTRE N°1'!AB31, IF(AND(G26&gt;=10, H26&gt;=10), G26, IF(AND(G26&gt;=10, H26&lt;10), G26, IF(AND(G26&lt;10, H26&gt;=10), G26, ""))))</f>
        <v>10.9</v>
      </c>
      <c r="K26" s="411">
        <f>IF(AND(J26&gt;=7, J27&gt;=7), ROUND(((F26*J26) + (F27*J27)) / (F26 + F27), 2), 0)</f>
        <v>12.73</v>
      </c>
      <c r="L26" s="411">
        <f>IF(K26&gt;9.99,(F26+F27),0)</f>
        <v>5</v>
      </c>
      <c r="M26" s="254" t="str">
        <f>IF(K26&gt;9.99,"Validé","Non validé")</f>
        <v>Validé</v>
      </c>
    </row>
    <row r="27" spans="2:13" ht="22.5" customHeight="1">
      <c r="B27" s="234"/>
      <c r="C27" s="363"/>
      <c r="D27" s="365"/>
      <c r="E27" s="120" t="s">
        <v>70</v>
      </c>
      <c r="F27" s="9">
        <v>3</v>
      </c>
      <c r="G27" s="94">
        <f>[1]BULL_N22!G27</f>
        <v>13.948</v>
      </c>
      <c r="H27" s="359"/>
      <c r="I27" s="406"/>
      <c r="J27" s="160">
        <f>IF(AND(G27&lt;10, H26&lt;10), 'SEMESTRE N°1'!AE31, IF(AND(G27&gt;=10, H26&gt;=10), G27, IF(AND(G27&gt;=10, H26&lt;10), G27, IF(AND(G27&lt;10, H26&gt;=10), G27, ""))))</f>
        <v>13.948</v>
      </c>
      <c r="K27" s="412"/>
      <c r="L27" s="413"/>
      <c r="M27" s="255"/>
    </row>
    <row r="28" spans="2:13" ht="18" customHeight="1">
      <c r="B28" s="234"/>
      <c r="C28" s="284" t="s">
        <v>71</v>
      </c>
      <c r="D28" s="285"/>
      <c r="E28" s="284"/>
      <c r="F28" s="19">
        <f>F19+F20+F21+F22+F23+F24+F25+F26+F27</f>
        <v>30</v>
      </c>
      <c r="G28" s="95"/>
      <c r="H28" s="96">
        <f>ROUND((H19+H21+H24+H26)/4,2)</f>
        <v>3.18</v>
      </c>
      <c r="I28" s="135">
        <f>I26+I24+I21+I19</f>
        <v>5</v>
      </c>
      <c r="J28" s="167"/>
      <c r="K28" s="168">
        <f>ROUND((K19+K21+K24+K26)/4,2)</f>
        <v>9.36</v>
      </c>
      <c r="L28" s="169">
        <f>SUM(L19:L27)</f>
        <v>19</v>
      </c>
      <c r="M28" s="88"/>
    </row>
    <row r="29" spans="2:13" ht="12" customHeight="1">
      <c r="C29" s="11"/>
      <c r="G29" s="11"/>
    </row>
    <row r="30" spans="2:13" ht="17.100000000000001" customHeight="1">
      <c r="B30" s="264" t="s">
        <v>72</v>
      </c>
      <c r="C30" s="265"/>
      <c r="D30" s="21">
        <f>L26+L24+L21+L19</f>
        <v>19</v>
      </c>
      <c r="E30" s="12"/>
      <c r="F30" s="13"/>
      <c r="G30" s="14"/>
      <c r="H30" s="15"/>
      <c r="I30" s="15"/>
      <c r="J30" s="330" t="s">
        <v>73</v>
      </c>
      <c r="K30" s="330"/>
      <c r="L30" s="330"/>
      <c r="M30" s="330"/>
    </row>
    <row r="31" spans="2:13" ht="17.100000000000001" customHeight="1">
      <c r="B31" s="266" t="s">
        <v>74</v>
      </c>
      <c r="C31" s="267"/>
      <c r="D31" s="22" t="str">
        <f>IF(D30=F28,"Semestre validé","Semestre non validé")</f>
        <v>Semestre non validé</v>
      </c>
      <c r="E31" s="13"/>
      <c r="F31" s="13"/>
      <c r="G31" s="16"/>
      <c r="L31" s="13"/>
    </row>
    <row r="32" spans="2:13" ht="17.100000000000001" customHeight="1">
      <c r="B32" s="266" t="s">
        <v>75</v>
      </c>
      <c r="C32" s="267"/>
      <c r="D32" s="1">
        <v>0</v>
      </c>
      <c r="E32" s="13"/>
      <c r="F32" s="13"/>
      <c r="G32" s="16"/>
      <c r="H32" s="13"/>
      <c r="I32" s="13"/>
      <c r="J32" s="13"/>
    </row>
    <row r="33" spans="2:13" ht="17.100000000000001" customHeight="1">
      <c r="B33" s="113"/>
      <c r="C33" s="113"/>
      <c r="D33" s="1"/>
      <c r="E33" s="13"/>
      <c r="F33" s="13"/>
      <c r="G33" s="16"/>
      <c r="H33" s="13"/>
      <c r="I33" s="13"/>
      <c r="J33" s="13"/>
    </row>
    <row r="34" spans="2:13" ht="17.100000000000001" customHeight="1">
      <c r="B34" s="113"/>
      <c r="C34" s="113"/>
      <c r="D34" s="1"/>
      <c r="E34" s="13"/>
      <c r="F34" s="13"/>
      <c r="G34" s="16"/>
      <c r="H34" s="13"/>
      <c r="I34" s="13"/>
      <c r="J34" s="13"/>
    </row>
    <row r="35" spans="2:13" ht="18">
      <c r="C35" s="16"/>
      <c r="D35" s="13"/>
      <c r="E35" s="13"/>
      <c r="F35" s="13"/>
      <c r="G35" s="275" t="s">
        <v>76</v>
      </c>
      <c r="H35" s="275"/>
      <c r="I35" s="275"/>
      <c r="J35" s="275"/>
      <c r="K35" s="275"/>
      <c r="L35" s="275"/>
      <c r="M35" s="275"/>
    </row>
    <row r="36" spans="2:13" ht="17.100000000000001" customHeight="1">
      <c r="B36" s="308" t="s">
        <v>77</v>
      </c>
      <c r="C36" s="308"/>
      <c r="D36" s="308"/>
      <c r="E36" s="308"/>
      <c r="F36" s="308"/>
      <c r="G36" s="308"/>
      <c r="H36" s="308"/>
      <c r="I36" s="308"/>
      <c r="J36" s="308"/>
      <c r="K36" s="308"/>
      <c r="L36" s="308"/>
      <c r="M36" s="308"/>
    </row>
    <row r="37" spans="2:13" ht="17.100000000000001" customHeight="1">
      <c r="B37" s="308"/>
      <c r="C37" s="308"/>
      <c r="D37" s="308"/>
      <c r="E37" s="308"/>
      <c r="F37" s="308"/>
      <c r="G37" s="308"/>
      <c r="H37" s="308"/>
      <c r="I37" s="308"/>
      <c r="J37" s="308"/>
      <c r="K37" s="308"/>
      <c r="L37" s="308"/>
      <c r="M37" s="308"/>
    </row>
    <row r="39" spans="2:13" hidden="1">
      <c r="B39" s="18" t="s">
        <v>78</v>
      </c>
    </row>
  </sheetData>
  <mergeCells count="58">
    <mergeCell ref="M24:M25"/>
    <mergeCell ref="M26:M27"/>
    <mergeCell ref="G15:M15"/>
    <mergeCell ref="B9:M9"/>
    <mergeCell ref="B36:M37"/>
    <mergeCell ref="J16:L16"/>
    <mergeCell ref="M16:M18"/>
    <mergeCell ref="M19:M20"/>
    <mergeCell ref="M21:M23"/>
    <mergeCell ref="B30:C30"/>
    <mergeCell ref="B31:C31"/>
    <mergeCell ref="B32:C32"/>
    <mergeCell ref="G35:M35"/>
    <mergeCell ref="C28:E28"/>
    <mergeCell ref="L26:L27"/>
    <mergeCell ref="L24:L25"/>
    <mergeCell ref="C26:C27"/>
    <mergeCell ref="D26:D27"/>
    <mergeCell ref="H26:H27"/>
    <mergeCell ref="I26:I27"/>
    <mergeCell ref="K26:K27"/>
    <mergeCell ref="C24:C25"/>
    <mergeCell ref="D24:D25"/>
    <mergeCell ref="H24:H25"/>
    <mergeCell ref="I24:I25"/>
    <mergeCell ref="K24:K25"/>
    <mergeCell ref="G14:L14"/>
    <mergeCell ref="B15:D16"/>
    <mergeCell ref="E15:F16"/>
    <mergeCell ref="G16:I16"/>
    <mergeCell ref="L21:L23"/>
    <mergeCell ref="C19:C20"/>
    <mergeCell ref="D19:D20"/>
    <mergeCell ref="H19:H20"/>
    <mergeCell ref="I19:I20"/>
    <mergeCell ref="K19:K20"/>
    <mergeCell ref="C21:C23"/>
    <mergeCell ref="D21:D23"/>
    <mergeCell ref="H21:H23"/>
    <mergeCell ref="I21:I23"/>
    <mergeCell ref="K21:K23"/>
    <mergeCell ref="L19:L20"/>
    <mergeCell ref="K17:L17"/>
    <mergeCell ref="E5:M8"/>
    <mergeCell ref="J30:M30"/>
    <mergeCell ref="C11:E11"/>
    <mergeCell ref="G11:L11"/>
    <mergeCell ref="B12:C12"/>
    <mergeCell ref="D12:E12"/>
    <mergeCell ref="G12:L12"/>
    <mergeCell ref="B17:B28"/>
    <mergeCell ref="C17:D18"/>
    <mergeCell ref="E17:E18"/>
    <mergeCell ref="F17:F18"/>
    <mergeCell ref="H17:I17"/>
    <mergeCell ref="C13:E13"/>
    <mergeCell ref="G13:L13"/>
    <mergeCell ref="C14:E14"/>
  </mergeCells>
  <pageMargins left="0" right="0" top="0" bottom="0" header="0" footer="0"/>
  <pageSetup paperSize="9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F13A6-CECD-4412-BC98-9AE7E0FD78CB}">
  <sheetPr codeName="Feuil25">
    <tabColor rgb="FF7030A0"/>
  </sheetPr>
  <dimension ref="A5:M40"/>
  <sheetViews>
    <sheetView showGridLines="0" view="pageLayout" topLeftCell="A7" zoomScaleNormal="91" workbookViewId="0">
      <selection activeCell="C14" sqref="C14:E14"/>
    </sheetView>
  </sheetViews>
  <sheetFormatPr baseColWidth="10" defaultColWidth="10.88671875" defaultRowHeight="14.4"/>
  <cols>
    <col min="1" max="1" width="4.6640625" style="5" customWidth="1"/>
    <col min="2" max="2" width="10.88671875" style="5"/>
    <col min="3" max="3" width="9.6640625" style="5" customWidth="1"/>
    <col min="4" max="4" width="15.5546875" style="5" customWidth="1"/>
    <col min="5" max="5" width="31.109375" style="5" customWidth="1"/>
    <col min="6" max="6" width="10.6640625" style="5" customWidth="1"/>
    <col min="7" max="7" width="7.6640625" style="5" customWidth="1"/>
    <col min="8" max="8" width="7" style="5" customWidth="1"/>
    <col min="9" max="9" width="7.109375" style="5" customWidth="1"/>
    <col min="10" max="12" width="8.6640625" style="5" customWidth="1"/>
    <col min="13" max="13" width="12.6640625" style="5" customWidth="1"/>
    <col min="14" max="14" width="4.6640625" style="5" customWidth="1"/>
    <col min="15" max="16384" width="10.88671875" style="5"/>
  </cols>
  <sheetData>
    <row r="5" spans="1:13">
      <c r="E5" s="288" t="s">
        <v>162</v>
      </c>
      <c r="F5" s="229"/>
      <c r="G5" s="229"/>
      <c r="H5" s="229"/>
      <c r="I5" s="229"/>
      <c r="J5" s="229"/>
      <c r="K5" s="229"/>
      <c r="L5" s="229"/>
      <c r="M5" s="229"/>
    </row>
    <row r="6" spans="1:13">
      <c r="E6" s="229"/>
      <c r="F6" s="229"/>
      <c r="G6" s="229"/>
      <c r="H6" s="229"/>
      <c r="I6" s="229"/>
      <c r="J6" s="229"/>
      <c r="K6" s="229"/>
      <c r="L6" s="229"/>
      <c r="M6" s="229"/>
    </row>
    <row r="7" spans="1:13">
      <c r="E7" s="229"/>
      <c r="F7" s="229"/>
      <c r="G7" s="229"/>
      <c r="H7" s="229"/>
      <c r="I7" s="229"/>
      <c r="J7" s="229"/>
      <c r="K7" s="229"/>
      <c r="L7" s="229"/>
      <c r="M7" s="229"/>
    </row>
    <row r="8" spans="1:13">
      <c r="E8" s="230"/>
      <c r="F8" s="230"/>
      <c r="G8" s="230"/>
      <c r="H8" s="230"/>
      <c r="I8" s="230"/>
      <c r="J8" s="230"/>
      <c r="K8" s="230"/>
      <c r="L8" s="230"/>
      <c r="M8" s="230"/>
    </row>
    <row r="9" spans="1:13" ht="18" customHeight="1">
      <c r="B9" s="316" t="s">
        <v>35</v>
      </c>
      <c r="C9" s="317"/>
      <c r="D9" s="317"/>
      <c r="E9" s="317"/>
      <c r="F9" s="317"/>
      <c r="G9" s="317"/>
      <c r="H9" s="317"/>
      <c r="I9" s="317"/>
      <c r="J9" s="317"/>
      <c r="K9" s="317"/>
      <c r="L9" s="317"/>
      <c r="M9" s="318"/>
    </row>
    <row r="10" spans="1:13" ht="18" customHeight="1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1:13" ht="15" customHeight="1">
      <c r="B11" s="6" t="s">
        <v>36</v>
      </c>
      <c r="C11" s="291" t="str">
        <f>'SEMESTRE N°1'!A32</f>
        <v>NKOUMOKE-MEYE Evan Brice</v>
      </c>
      <c r="D11" s="292"/>
      <c r="E11" s="292"/>
      <c r="F11" s="6" t="s">
        <v>37</v>
      </c>
      <c r="G11" s="297" t="str">
        <f>B40</f>
        <v>Licence Pro. Informatique-1ère année Tronc commun</v>
      </c>
      <c r="H11" s="297"/>
      <c r="I11" s="297"/>
      <c r="J11" s="297"/>
      <c r="K11" s="297"/>
      <c r="L11" s="297"/>
    </row>
    <row r="12" spans="1:13" ht="15" customHeight="1">
      <c r="B12" s="246" t="s">
        <v>38</v>
      </c>
      <c r="C12" s="246"/>
      <c r="D12" s="296" t="str">
        <f>'SEMESTRE N°1'!B32</f>
        <v>16/01/2004</v>
      </c>
      <c r="E12" s="297"/>
      <c r="F12" s="6" t="s">
        <v>29</v>
      </c>
      <c r="G12" s="294" t="str">
        <f>'SEMESTRE N°1'!E33</f>
        <v>TC-1</v>
      </c>
      <c r="H12" s="294"/>
      <c r="I12" s="294"/>
      <c r="J12" s="294"/>
      <c r="K12" s="294"/>
      <c r="L12" s="294"/>
    </row>
    <row r="13" spans="1:13" ht="15" customHeight="1">
      <c r="A13" s="131"/>
      <c r="B13" s="6" t="s">
        <v>39</v>
      </c>
      <c r="C13" s="291" t="str">
        <f>'SEMESTRE N°1'!C32</f>
        <v>Gabonaise</v>
      </c>
      <c r="D13" s="292"/>
      <c r="E13" s="292"/>
      <c r="F13" s="6" t="s">
        <v>40</v>
      </c>
      <c r="G13" s="249"/>
      <c r="H13" s="249"/>
      <c r="I13" s="249"/>
      <c r="J13" s="249"/>
      <c r="K13" s="249"/>
      <c r="L13" s="249"/>
    </row>
    <row r="14" spans="1:13" ht="15" customHeight="1">
      <c r="A14" s="131"/>
      <c r="B14" s="6" t="s">
        <v>41</v>
      </c>
      <c r="C14" s="296" t="str">
        <f>'SEMESTRE N°1'!D32</f>
        <v>252024</v>
      </c>
      <c r="D14" s="297"/>
      <c r="E14" s="297"/>
      <c r="F14" s="6" t="s">
        <v>42</v>
      </c>
      <c r="G14" s="249"/>
      <c r="H14" s="249"/>
      <c r="I14" s="249"/>
      <c r="J14" s="249"/>
      <c r="K14" s="249"/>
      <c r="L14" s="249"/>
    </row>
    <row r="15" spans="1:13">
      <c r="A15" s="131"/>
      <c r="B15" s="281" t="s">
        <v>43</v>
      </c>
      <c r="C15" s="281"/>
      <c r="D15" s="281"/>
      <c r="E15" s="282" t="s">
        <v>17</v>
      </c>
      <c r="F15" s="283"/>
      <c r="G15" s="342" t="s">
        <v>44</v>
      </c>
      <c r="H15" s="343"/>
      <c r="I15" s="343"/>
      <c r="J15" s="343"/>
      <c r="K15" s="343"/>
      <c r="L15" s="343"/>
      <c r="M15" s="344"/>
    </row>
    <row r="16" spans="1:13">
      <c r="A16" s="131"/>
      <c r="B16" s="281"/>
      <c r="C16" s="281"/>
      <c r="D16" s="281"/>
      <c r="E16" s="282"/>
      <c r="F16" s="283"/>
      <c r="G16" s="240" t="s">
        <v>83</v>
      </c>
      <c r="H16" s="240"/>
      <c r="I16" s="240"/>
      <c r="J16" s="256" t="s">
        <v>46</v>
      </c>
      <c r="K16" s="257"/>
      <c r="L16" s="338"/>
      <c r="M16" s="339" t="s">
        <v>47</v>
      </c>
    </row>
    <row r="17" spans="1:13">
      <c r="A17" s="131"/>
      <c r="B17" s="233" t="s">
        <v>48</v>
      </c>
      <c r="C17" s="273" t="s">
        <v>49</v>
      </c>
      <c r="D17" s="273"/>
      <c r="E17" s="272" t="s">
        <v>49</v>
      </c>
      <c r="F17" s="272" t="s">
        <v>50</v>
      </c>
      <c r="G17" s="2" t="s">
        <v>51</v>
      </c>
      <c r="H17" s="272" t="s">
        <v>52</v>
      </c>
      <c r="I17" s="272"/>
      <c r="J17" s="119" t="s">
        <v>51</v>
      </c>
      <c r="K17" s="262" t="s">
        <v>52</v>
      </c>
      <c r="L17" s="337"/>
      <c r="M17" s="340"/>
    </row>
    <row r="18" spans="1:13">
      <c r="A18" s="131"/>
      <c r="B18" s="234"/>
      <c r="C18" s="272"/>
      <c r="D18" s="274"/>
      <c r="E18" s="272"/>
      <c r="F18" s="272"/>
      <c r="G18" s="60" t="s">
        <v>53</v>
      </c>
      <c r="H18" s="60" t="s">
        <v>53</v>
      </c>
      <c r="I18" s="60" t="s">
        <v>50</v>
      </c>
      <c r="J18" s="87" t="s">
        <v>53</v>
      </c>
      <c r="K18" s="87" t="s">
        <v>53</v>
      </c>
      <c r="L18" s="87" t="s">
        <v>50</v>
      </c>
      <c r="M18" s="341"/>
    </row>
    <row r="19" spans="1:13">
      <c r="A19" s="131"/>
      <c r="B19" s="234"/>
      <c r="C19" s="243" t="s">
        <v>54</v>
      </c>
      <c r="D19" s="268" t="s">
        <v>82</v>
      </c>
      <c r="E19" s="118" t="s">
        <v>56</v>
      </c>
      <c r="F19" s="9">
        <v>3</v>
      </c>
      <c r="G19" s="99">
        <f>[1]BULL_N23!G19</f>
        <v>4.4000000000000004</v>
      </c>
      <c r="H19" s="414">
        <f>IF(AND(G19&gt;=7, G20&gt;=7), ROUND(((F19*G19) + (F20*G20)) / (F19 + F20), 2), 0)</f>
        <v>0</v>
      </c>
      <c r="I19" s="414">
        <f>IF(H19&gt;9.99,(F19+F20),0)</f>
        <v>0</v>
      </c>
      <c r="J19" s="165">
        <f>IF(AND(G19&lt;10, H19&lt;10), 'SEMESTRE N°1'!G32, IF(AND(G19&gt;=10, H19&gt;=10), G19, IF(AND(G19&gt;=10, H19&lt;10), G19, IF(AND(G19&lt;10, H19&gt;=10), G19, ""))))</f>
        <v>8</v>
      </c>
      <c r="K19" s="293">
        <f>IF(AND(J19&gt;=7, J20&gt;=7), ROUND(((F19*J19) + (F20*J20)) / (F19 + F20), 2), 0)</f>
        <v>10</v>
      </c>
      <c r="L19" s="293">
        <f>IF(K19&gt;9.99,(F19+F20),0)</f>
        <v>6</v>
      </c>
      <c r="M19" s="263" t="str">
        <f>IF(K19&gt;9.99,"Validé","Non validé")</f>
        <v>Validé</v>
      </c>
    </row>
    <row r="20" spans="1:13">
      <c r="A20" s="131"/>
      <c r="B20" s="234"/>
      <c r="C20" s="243"/>
      <c r="D20" s="269"/>
      <c r="E20" s="118" t="s">
        <v>57</v>
      </c>
      <c r="F20" s="9">
        <v>3</v>
      </c>
      <c r="G20" s="99">
        <f>[1]BULL_N23!G20</f>
        <v>5.5</v>
      </c>
      <c r="H20" s="415"/>
      <c r="I20" s="414"/>
      <c r="J20" s="165">
        <f>IF(AND(G20&lt;10, H19&lt;10), 'SEMESTRE N°1'!J32, IF(AND(G20&gt;=10, H19&gt;=10), G20, IF(AND(G20&gt;=10, H19&lt;10), G20, IF(AND(G20&lt;10, H19&gt;=10), G20, ""))))</f>
        <v>12</v>
      </c>
      <c r="K20" s="293"/>
      <c r="L20" s="293"/>
      <c r="M20" s="263"/>
    </row>
    <row r="21" spans="1:13">
      <c r="A21" s="131"/>
      <c r="B21" s="234"/>
      <c r="C21" s="416" t="s">
        <v>58</v>
      </c>
      <c r="D21" s="417" t="s">
        <v>59</v>
      </c>
      <c r="E21" s="118" t="s">
        <v>169</v>
      </c>
      <c r="F21" s="9">
        <v>5</v>
      </c>
      <c r="G21" s="99">
        <f>[1]BULL_N23!G21</f>
        <v>12.2</v>
      </c>
      <c r="H21" s="414">
        <f>IF(AND(G21&gt;=7, G22&gt;=7, G23&gt;=7), ROUND(((F21*G21) + (F22*G22)+ (F23*G23)) / (F21 + F22+F23), 2), 0)</f>
        <v>0</v>
      </c>
      <c r="I21" s="414">
        <f>IF(H21&gt;9.99,(F21+F22+F23),0)</f>
        <v>0</v>
      </c>
      <c r="J21" s="159">
        <f>IF(AND(G21&lt;10, H21&lt;10), 'SEMESTRE N°1'!M33, IF(AND(G21&gt;=10, H21&gt;=10), G21, IF(AND(G21&gt;=10, H21&lt;10), G21, IF(AND(G21&lt;10, H21&gt;=10), G21, ""))))</f>
        <v>12.2</v>
      </c>
      <c r="K21" s="326">
        <f>IF(AND(J21&gt;=7, J22&gt;=7, J23&gt;=7), ROUND(((F21*J21) + (F22*J22)+ (F23*J23)) / (F21 + F22+F23), 2), 0)</f>
        <v>0</v>
      </c>
      <c r="L21" s="323">
        <f>IF(K21&gt;9.99,(F21+F22+F23),0)</f>
        <v>0</v>
      </c>
      <c r="M21" s="251" t="str">
        <f>IF(K21&gt;9.99,"Validé","Non validé")</f>
        <v>Non validé</v>
      </c>
    </row>
    <row r="22" spans="1:13">
      <c r="A22" s="131"/>
      <c r="B22" s="234"/>
      <c r="C22" s="416"/>
      <c r="D22" s="419"/>
      <c r="E22" s="118" t="s">
        <v>61</v>
      </c>
      <c r="F22" s="9">
        <v>3</v>
      </c>
      <c r="G22" s="99">
        <f>[1]BULL_N23!G22</f>
        <v>6.39</v>
      </c>
      <c r="H22" s="415"/>
      <c r="I22" s="414"/>
      <c r="J22" s="165">
        <f>IF(AND(G22&lt;10, H21&lt;10), 'SEMESTRE N°1'!P32, IF(AND(G22&gt;=10, H21&gt;=10), G22, IF(AND(G22&gt;=10, H21&lt;10), G22, IF(AND(G22&lt;10, H21&gt;=10), G22, ""))))</f>
        <v>7</v>
      </c>
      <c r="K22" s="326"/>
      <c r="L22" s="324"/>
      <c r="M22" s="252"/>
    </row>
    <row r="23" spans="1:13">
      <c r="A23" s="131"/>
      <c r="B23" s="234"/>
      <c r="C23" s="416"/>
      <c r="D23" s="418"/>
      <c r="E23" s="118" t="s">
        <v>62</v>
      </c>
      <c r="F23" s="9">
        <v>3</v>
      </c>
      <c r="G23" s="99">
        <f>[1]BULL_N23!G23</f>
        <v>4.1000000000000005</v>
      </c>
      <c r="H23" s="415"/>
      <c r="I23" s="414"/>
      <c r="J23" s="165">
        <f>G23</f>
        <v>4.1000000000000005</v>
      </c>
      <c r="K23" s="326"/>
      <c r="L23" s="325"/>
      <c r="M23" s="253"/>
    </row>
    <row r="24" spans="1:13">
      <c r="A24" s="131"/>
      <c r="B24" s="234"/>
      <c r="C24" s="416" t="s">
        <v>63</v>
      </c>
      <c r="D24" s="417" t="s">
        <v>64</v>
      </c>
      <c r="E24" s="121" t="s">
        <v>65</v>
      </c>
      <c r="F24" s="9">
        <v>4</v>
      </c>
      <c r="G24" s="99">
        <f>[1]BULL_N23!G24</f>
        <v>4.5</v>
      </c>
      <c r="H24" s="414">
        <f>IF(AND(G24&gt;=7, G25&gt;=7), ROUND(((F24*G24) + (F25*G25)) / (F24 + F25), 2), 0)</f>
        <v>0</v>
      </c>
      <c r="I24" s="414">
        <f>IF(H24&gt;9.99,(F24+F25),0)</f>
        <v>0</v>
      </c>
      <c r="J24" s="165">
        <f>IF(AND(G24&lt;10, H24&lt;10), 'SEMESTRE N°1'!V32, IF(AND(G24&gt;=10, H24&gt;=10), G24, IF(AND(G24&gt;=10, H24&lt;10), G24, IF(AND(G24&lt;10, H24&gt;=10), G24, ""))))</f>
        <v>12</v>
      </c>
      <c r="K24" s="348">
        <f>IF(AND(J24&gt;=7, J25&gt;=7), ROUND(((F24*J24) + (F25*J25)) / (F24 + F25), 2), 0)</f>
        <v>10.5</v>
      </c>
      <c r="L24" s="348">
        <f>IF(K24&gt;9.99,(F24+F25),0)</f>
        <v>8</v>
      </c>
      <c r="M24" s="254" t="str">
        <f>IF(K24&gt;9.99,"Validé","Non validé")</f>
        <v>Validé</v>
      </c>
    </row>
    <row r="25" spans="1:13">
      <c r="A25" s="131"/>
      <c r="B25" s="234"/>
      <c r="C25" s="416"/>
      <c r="D25" s="418"/>
      <c r="E25" s="118" t="s">
        <v>66</v>
      </c>
      <c r="F25" s="9">
        <v>4</v>
      </c>
      <c r="G25" s="99">
        <f>[1]BULL_N23!G25</f>
        <v>6.8000000000000007</v>
      </c>
      <c r="H25" s="415"/>
      <c r="I25" s="414"/>
      <c r="J25" s="165">
        <f>IF(AND(G25&lt;10, H24&lt;10), 'SEMESTRE N°1'!Y32, IF(AND(G25&gt;=10, H24&gt;=10), G25, IF(AND(G25&gt;=10, H24&lt;10), G25, IF(AND(G25&lt;10, H24&gt;=10), G25, ""))))</f>
        <v>9</v>
      </c>
      <c r="K25" s="349"/>
      <c r="L25" s="349"/>
      <c r="M25" s="255"/>
    </row>
    <row r="26" spans="1:13" ht="17.399999999999999" customHeight="1">
      <c r="A26" s="131"/>
      <c r="B26" s="234"/>
      <c r="C26" s="416" t="s">
        <v>67</v>
      </c>
      <c r="D26" s="268" t="s">
        <v>68</v>
      </c>
      <c r="E26" s="118" t="s">
        <v>69</v>
      </c>
      <c r="F26" s="9">
        <v>2</v>
      </c>
      <c r="G26" s="99">
        <f>[1]BULL_N23!G26</f>
        <v>7.8</v>
      </c>
      <c r="H26" s="414">
        <f>IF(AND(G26&gt;=7, G27&gt;=7), ROUND(((F26*G26) + (F27*G27)) / (F26 + F27), 2), 0)</f>
        <v>0</v>
      </c>
      <c r="I26" s="414">
        <f>IF(H26&gt;9.99,(F26+F27),0)</f>
        <v>0</v>
      </c>
      <c r="J26" s="165">
        <f>IF(AND(G26&lt;10, H26&lt;10), 'SEMESTRE N°1'!AB32, IF(AND(G26&gt;=10, H26&gt;=10), G26, IF(AND(G26&gt;=10, H26&lt;10), G26, IF(AND(G26&lt;10, H26&gt;=10), G26, ""))))</f>
        <v>11</v>
      </c>
      <c r="K26" s="348">
        <f>IF(AND(J26&gt;=7, J27&gt;=7), ROUND(((F26*J26) + (F27*J27)) / (F26 + F27), 2), 0)</f>
        <v>10.4</v>
      </c>
      <c r="L26" s="348">
        <f>IF(K26&gt;9.99,(F26+F27),0)</f>
        <v>5</v>
      </c>
      <c r="M26" s="254" t="str">
        <f>IF(K26&gt;9.99,"Validé","Non validé")</f>
        <v>Validé</v>
      </c>
    </row>
    <row r="27" spans="1:13" ht="24.6" customHeight="1">
      <c r="A27" s="131"/>
      <c r="B27" s="234"/>
      <c r="C27" s="416"/>
      <c r="D27" s="269"/>
      <c r="E27" s="118" t="s">
        <v>70</v>
      </c>
      <c r="F27" s="9">
        <v>3</v>
      </c>
      <c r="G27" s="99">
        <f>[1]BULL_N23!G27</f>
        <v>6.8479999999999999</v>
      </c>
      <c r="H27" s="415"/>
      <c r="I27" s="414"/>
      <c r="J27" s="159">
        <f>IF(AND(G27&lt;10, H26&lt;10), 'SEMESTRE N°1'!AE32, IF(AND(G27&gt;=10, H26&gt;=10), G27, IF(AND(G27&gt;=10, H26&lt;10), G27, IF(AND(G27&lt;10, H26&gt;=10), G27, ""))))</f>
        <v>10</v>
      </c>
      <c r="K27" s="349"/>
      <c r="L27" s="293"/>
      <c r="M27" s="255"/>
    </row>
    <row r="28" spans="1:13" ht="17.25" customHeight="1">
      <c r="A28" s="131"/>
      <c r="B28" s="234"/>
      <c r="C28" s="284" t="s">
        <v>71</v>
      </c>
      <c r="D28" s="285"/>
      <c r="E28" s="284"/>
      <c r="F28" s="19">
        <f>F19+F20+F21+F22+F23+F24+F25+F26+F27</f>
        <v>30</v>
      </c>
      <c r="G28" s="100"/>
      <c r="H28" s="101">
        <f>ROUND((H19+H21+H24+H26)/4,2)</f>
        <v>0</v>
      </c>
      <c r="I28" s="102">
        <f>I26+I24+I21+I19</f>
        <v>0</v>
      </c>
      <c r="J28" s="91"/>
      <c r="K28" s="111">
        <f>ROUND((K19+K21+K24+K26)/4,2)</f>
        <v>7.73</v>
      </c>
      <c r="L28" s="107">
        <f>SUM(L19:L27)</f>
        <v>19</v>
      </c>
      <c r="M28" s="88"/>
    </row>
    <row r="29" spans="1:13">
      <c r="A29" s="131"/>
      <c r="C29" s="11"/>
      <c r="G29" s="11"/>
    </row>
    <row r="30" spans="1:13" ht="18">
      <c r="A30" s="131"/>
      <c r="B30" s="264" t="s">
        <v>72</v>
      </c>
      <c r="C30" s="265"/>
      <c r="D30" s="21">
        <f>L28</f>
        <v>19</v>
      </c>
      <c r="E30" s="12"/>
      <c r="F30" s="13"/>
      <c r="G30" s="14"/>
      <c r="H30" s="15"/>
      <c r="I30" s="15"/>
      <c r="K30" s="39" t="s">
        <v>73</v>
      </c>
      <c r="L30" s="39"/>
      <c r="M30" s="36"/>
    </row>
    <row r="31" spans="1:13">
      <c r="B31" s="266" t="s">
        <v>74</v>
      </c>
      <c r="C31" s="267"/>
      <c r="D31" s="22" t="str">
        <f>IF(D30=F28,"Semestre validé","Semestre non validé")</f>
        <v>Semestre non validé</v>
      </c>
      <c r="E31" s="13"/>
      <c r="F31" s="13"/>
      <c r="G31" s="16"/>
      <c r="L31" s="13"/>
    </row>
    <row r="32" spans="1:13">
      <c r="B32" s="266" t="s">
        <v>75</v>
      </c>
      <c r="C32" s="267"/>
      <c r="D32" s="1">
        <v>0</v>
      </c>
      <c r="E32" s="13"/>
      <c r="F32" s="13"/>
      <c r="G32" s="16"/>
      <c r="H32" s="13"/>
      <c r="I32" s="13"/>
      <c r="J32" s="13"/>
    </row>
    <row r="33" spans="2:13">
      <c r="B33" s="113"/>
      <c r="C33" s="113"/>
      <c r="D33" s="1"/>
      <c r="E33" s="13"/>
      <c r="F33" s="13"/>
      <c r="G33" s="16"/>
      <c r="H33" s="13"/>
      <c r="I33" s="13"/>
      <c r="J33" s="13"/>
    </row>
    <row r="34" spans="2:13">
      <c r="B34" s="59"/>
      <c r="C34" s="59"/>
      <c r="D34" s="1"/>
      <c r="E34" s="13"/>
      <c r="F34" s="13"/>
      <c r="G34" s="16"/>
      <c r="H34" s="13"/>
      <c r="I34" s="13"/>
      <c r="J34" s="13"/>
    </row>
    <row r="35" spans="2:13" ht="18">
      <c r="C35" s="16"/>
      <c r="D35" s="13"/>
      <c r="E35" s="13"/>
      <c r="F35" s="13"/>
      <c r="G35" s="275" t="s">
        <v>76</v>
      </c>
      <c r="H35" s="275"/>
      <c r="I35" s="275"/>
      <c r="J35" s="275"/>
      <c r="K35" s="275"/>
      <c r="L35" s="275"/>
      <c r="M35" s="275"/>
    </row>
    <row r="36" spans="2:13" ht="15" customHeight="1">
      <c r="B36" s="321" t="s">
        <v>77</v>
      </c>
      <c r="C36" s="321"/>
      <c r="D36" s="321"/>
      <c r="E36" s="321"/>
      <c r="F36" s="321"/>
      <c r="G36" s="321"/>
      <c r="H36" s="321"/>
      <c r="I36" s="321"/>
      <c r="J36" s="321"/>
      <c r="K36" s="321"/>
      <c r="L36" s="321"/>
      <c r="M36" s="321"/>
    </row>
    <row r="37" spans="2:13">
      <c r="B37" s="321"/>
      <c r="C37" s="321"/>
      <c r="D37" s="321"/>
      <c r="E37" s="321"/>
      <c r="F37" s="321"/>
      <c r="G37" s="321"/>
      <c r="H37" s="321"/>
      <c r="I37" s="321"/>
      <c r="J37" s="321"/>
      <c r="K37" s="321"/>
      <c r="L37" s="321"/>
      <c r="M37" s="321"/>
    </row>
    <row r="40" spans="2:13" hidden="1">
      <c r="B40" s="18" t="s">
        <v>78</v>
      </c>
    </row>
  </sheetData>
  <mergeCells count="57">
    <mergeCell ref="M24:M25"/>
    <mergeCell ref="M26:M27"/>
    <mergeCell ref="G15:M15"/>
    <mergeCell ref="B9:M9"/>
    <mergeCell ref="B36:M37"/>
    <mergeCell ref="J16:L16"/>
    <mergeCell ref="M16:M18"/>
    <mergeCell ref="M19:M20"/>
    <mergeCell ref="M21:M23"/>
    <mergeCell ref="B30:C30"/>
    <mergeCell ref="B31:C31"/>
    <mergeCell ref="B32:C32"/>
    <mergeCell ref="G35:M35"/>
    <mergeCell ref="C28:E28"/>
    <mergeCell ref="L26:L27"/>
    <mergeCell ref="L24:L25"/>
    <mergeCell ref="C26:C27"/>
    <mergeCell ref="D26:D27"/>
    <mergeCell ref="H26:H27"/>
    <mergeCell ref="I26:I27"/>
    <mergeCell ref="K26:K27"/>
    <mergeCell ref="L19:L20"/>
    <mergeCell ref="K17:L17"/>
    <mergeCell ref="C24:C25"/>
    <mergeCell ref="D24:D25"/>
    <mergeCell ref="H24:H25"/>
    <mergeCell ref="I24:I25"/>
    <mergeCell ref="K24:K25"/>
    <mergeCell ref="I19:I20"/>
    <mergeCell ref="K19:K20"/>
    <mergeCell ref="C21:C23"/>
    <mergeCell ref="D21:D23"/>
    <mergeCell ref="H21:H23"/>
    <mergeCell ref="I21:I23"/>
    <mergeCell ref="K21:K23"/>
    <mergeCell ref="E5:M8"/>
    <mergeCell ref="C11:E11"/>
    <mergeCell ref="G11:L11"/>
    <mergeCell ref="B12:C12"/>
    <mergeCell ref="D12:E12"/>
    <mergeCell ref="G12:L12"/>
    <mergeCell ref="C13:E13"/>
    <mergeCell ref="G13:L13"/>
    <mergeCell ref="C14:E14"/>
    <mergeCell ref="G14:L14"/>
    <mergeCell ref="B17:B28"/>
    <mergeCell ref="C17:D18"/>
    <mergeCell ref="E17:E18"/>
    <mergeCell ref="F17:F18"/>
    <mergeCell ref="H17:I17"/>
    <mergeCell ref="B15:D16"/>
    <mergeCell ref="E15:F16"/>
    <mergeCell ref="G16:I16"/>
    <mergeCell ref="L21:L23"/>
    <mergeCell ref="C19:C20"/>
    <mergeCell ref="D19:D20"/>
    <mergeCell ref="H19:H20"/>
  </mergeCells>
  <pageMargins left="0" right="0" top="0" bottom="0" header="0" footer="0"/>
  <pageSetup paperSize="9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0BDD-6E04-4602-A519-2FD1DF3C12EA}">
  <sheetPr codeName="Feuil26">
    <tabColor rgb="FF7030A0"/>
  </sheetPr>
  <dimension ref="B5:M39"/>
  <sheetViews>
    <sheetView showGridLines="0" view="pageLayout" topLeftCell="A5" zoomScaleNormal="100" workbookViewId="0">
      <selection activeCell="G33" sqref="G33"/>
    </sheetView>
  </sheetViews>
  <sheetFormatPr baseColWidth="10" defaultColWidth="10.88671875" defaultRowHeight="14.4"/>
  <cols>
    <col min="1" max="1" width="4.6640625" style="5" customWidth="1"/>
    <col min="2" max="2" width="10.88671875" style="5"/>
    <col min="3" max="3" width="10.109375" style="5" customWidth="1"/>
    <col min="4" max="4" width="15" style="5" customWidth="1"/>
    <col min="5" max="5" width="30.33203125" style="5" customWidth="1"/>
    <col min="6" max="6" width="11.33203125" style="5" customWidth="1"/>
    <col min="7" max="9" width="7.6640625" style="5" customWidth="1"/>
    <col min="10" max="10" width="9.5546875" style="5" customWidth="1"/>
    <col min="11" max="11" width="8.33203125" style="5" customWidth="1"/>
    <col min="12" max="12" width="8" style="5" customWidth="1"/>
    <col min="13" max="13" width="11.109375" style="5" customWidth="1"/>
    <col min="14" max="16384" width="10.88671875" style="5"/>
  </cols>
  <sheetData>
    <row r="5" spans="2:13">
      <c r="E5" s="288" t="s">
        <v>162</v>
      </c>
      <c r="F5" s="229"/>
      <c r="G5" s="229"/>
      <c r="H5" s="229"/>
      <c r="I5" s="229"/>
      <c r="J5" s="229"/>
      <c r="K5" s="229"/>
      <c r="L5" s="229"/>
      <c r="M5" s="229"/>
    </row>
    <row r="6" spans="2:13">
      <c r="E6" s="229"/>
      <c r="F6" s="229"/>
      <c r="G6" s="229"/>
      <c r="H6" s="229"/>
      <c r="I6" s="229"/>
      <c r="J6" s="229"/>
      <c r="K6" s="229"/>
      <c r="L6" s="229"/>
      <c r="M6" s="229"/>
    </row>
    <row r="7" spans="2:13">
      <c r="E7" s="229"/>
      <c r="F7" s="229"/>
      <c r="G7" s="229"/>
      <c r="H7" s="229"/>
      <c r="I7" s="229"/>
      <c r="J7" s="229"/>
      <c r="K7" s="229"/>
      <c r="L7" s="229"/>
      <c r="M7" s="229"/>
    </row>
    <row r="8" spans="2:13">
      <c r="E8" s="230"/>
      <c r="F8" s="230"/>
      <c r="G8" s="230"/>
      <c r="H8" s="230"/>
      <c r="I8" s="230"/>
      <c r="J8" s="230"/>
      <c r="K8" s="230"/>
      <c r="L8" s="230"/>
      <c r="M8" s="230"/>
    </row>
    <row r="9" spans="2:13" ht="18" customHeight="1">
      <c r="B9" s="316" t="s">
        <v>35</v>
      </c>
      <c r="C9" s="317"/>
      <c r="D9" s="317"/>
      <c r="E9" s="317"/>
      <c r="F9" s="317"/>
      <c r="G9" s="317"/>
      <c r="H9" s="317"/>
      <c r="I9" s="317"/>
      <c r="J9" s="317"/>
      <c r="K9" s="317"/>
      <c r="L9" s="317"/>
      <c r="M9" s="318"/>
    </row>
    <row r="10" spans="2:13" ht="18" customHeight="1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2:13" ht="17.100000000000001" customHeight="1">
      <c r="B11" s="6" t="s">
        <v>36</v>
      </c>
      <c r="C11" s="292" t="str">
        <f>'SEMESTRE N°1'!A33</f>
        <v>NZAHOU MABEDI Celda Doraine</v>
      </c>
      <c r="D11" s="292"/>
      <c r="E11" s="292"/>
      <c r="F11" s="6" t="s">
        <v>37</v>
      </c>
      <c r="G11" s="297" t="str">
        <f>B39</f>
        <v>Licence Pro. Informatique-1ère année Tronc commun</v>
      </c>
      <c r="H11" s="297"/>
      <c r="I11" s="297"/>
      <c r="J11" s="297"/>
      <c r="K11" s="297"/>
      <c r="L11" s="297"/>
    </row>
    <row r="12" spans="2:13" ht="17.100000000000001" customHeight="1">
      <c r="B12" s="246" t="s">
        <v>38</v>
      </c>
      <c r="C12" s="246"/>
      <c r="D12" s="305" t="str">
        <f>'SEMESTRE N°1'!B33</f>
        <v xml:space="preserve">  30/12/2006</v>
      </c>
      <c r="E12" s="294"/>
      <c r="F12" s="6" t="s">
        <v>29</v>
      </c>
      <c r="G12" s="294" t="str">
        <f>'SEMESTRE N°1'!E34</f>
        <v>TC-1</v>
      </c>
      <c r="H12" s="294"/>
      <c r="I12" s="294"/>
      <c r="J12" s="294"/>
      <c r="K12" s="294"/>
      <c r="L12" s="294"/>
    </row>
    <row r="13" spans="2:13" ht="17.100000000000001" customHeight="1">
      <c r="B13" s="6" t="s">
        <v>39</v>
      </c>
      <c r="C13" s="291" t="str">
        <f>'SEMESTRE N°1'!C33</f>
        <v>Gabonaise</v>
      </c>
      <c r="D13" s="292"/>
      <c r="E13" s="292"/>
      <c r="F13" s="6" t="s">
        <v>40</v>
      </c>
      <c r="G13" s="249"/>
      <c r="H13" s="249"/>
      <c r="I13" s="249"/>
      <c r="J13" s="249"/>
      <c r="K13" s="249"/>
      <c r="L13" s="249"/>
    </row>
    <row r="14" spans="2:13" ht="17.100000000000001" customHeight="1">
      <c r="B14" s="6" t="s">
        <v>41</v>
      </c>
      <c r="C14" s="296" t="str">
        <f>'SEMESTRE N°1'!D33</f>
        <v>292024</v>
      </c>
      <c r="D14" s="297"/>
      <c r="E14" s="298"/>
      <c r="F14" s="6" t="s">
        <v>42</v>
      </c>
      <c r="G14" s="249"/>
      <c r="H14" s="249"/>
      <c r="I14" s="249"/>
      <c r="J14" s="249"/>
      <c r="K14" s="249"/>
      <c r="L14" s="249"/>
    </row>
    <row r="15" spans="2:13">
      <c r="B15" s="281" t="s">
        <v>43</v>
      </c>
      <c r="C15" s="281"/>
      <c r="D15" s="281"/>
      <c r="E15" s="282" t="s">
        <v>17</v>
      </c>
      <c r="F15" s="283"/>
      <c r="G15" s="342" t="s">
        <v>44</v>
      </c>
      <c r="H15" s="343"/>
      <c r="I15" s="343"/>
      <c r="J15" s="343"/>
      <c r="K15" s="343"/>
      <c r="L15" s="343"/>
      <c r="M15" s="344"/>
    </row>
    <row r="16" spans="2:13">
      <c r="B16" s="281"/>
      <c r="C16" s="281"/>
      <c r="D16" s="281"/>
      <c r="E16" s="282"/>
      <c r="F16" s="283"/>
      <c r="G16" s="240" t="s">
        <v>83</v>
      </c>
      <c r="H16" s="240"/>
      <c r="I16" s="240"/>
      <c r="J16" s="256" t="s">
        <v>46</v>
      </c>
      <c r="K16" s="257"/>
      <c r="L16" s="338"/>
      <c r="M16" s="339" t="s">
        <v>47</v>
      </c>
    </row>
    <row r="17" spans="2:13">
      <c r="B17" s="233" t="s">
        <v>48</v>
      </c>
      <c r="C17" s="273" t="s">
        <v>49</v>
      </c>
      <c r="D17" s="273"/>
      <c r="E17" s="272" t="s">
        <v>49</v>
      </c>
      <c r="F17" s="272" t="s">
        <v>50</v>
      </c>
      <c r="G17" s="2" t="s">
        <v>51</v>
      </c>
      <c r="H17" s="272" t="s">
        <v>52</v>
      </c>
      <c r="I17" s="272"/>
      <c r="J17" s="87" t="s">
        <v>51</v>
      </c>
      <c r="K17" s="262" t="s">
        <v>52</v>
      </c>
      <c r="L17" s="337"/>
      <c r="M17" s="340"/>
    </row>
    <row r="18" spans="2:13">
      <c r="B18" s="234"/>
      <c r="C18" s="272"/>
      <c r="D18" s="274"/>
      <c r="E18" s="272"/>
      <c r="F18" s="272"/>
      <c r="G18" s="60" t="s">
        <v>53</v>
      </c>
      <c r="H18" s="60" t="s">
        <v>53</v>
      </c>
      <c r="I18" s="60" t="s">
        <v>50</v>
      </c>
      <c r="J18" s="87" t="s">
        <v>53</v>
      </c>
      <c r="K18" s="87" t="s">
        <v>53</v>
      </c>
      <c r="L18" s="87" t="s">
        <v>50</v>
      </c>
      <c r="M18" s="341"/>
    </row>
    <row r="19" spans="2:13" ht="15.6">
      <c r="B19" s="234"/>
      <c r="C19" s="370" t="s">
        <v>54</v>
      </c>
      <c r="D19" s="420" t="s">
        <v>55</v>
      </c>
      <c r="E19" s="120" t="s">
        <v>56</v>
      </c>
      <c r="F19" s="9">
        <v>3</v>
      </c>
      <c r="G19" s="108">
        <f>[1]BULL_N24!G19</f>
        <v>10.8</v>
      </c>
      <c r="H19" s="358">
        <f>IF(AND(G19&gt;=7, G20&gt;=7), ROUND(((F19*G19) + (F20*G20)) / (F19 + F20), 2), 0)</f>
        <v>13</v>
      </c>
      <c r="I19" s="358">
        <f>IF(H19&gt;9.99,(F19+F20),0)</f>
        <v>6</v>
      </c>
      <c r="J19" s="93">
        <f>IF(AND(G19&lt;10, H19&lt;10), 'SEMESTRE N°1'!G34, IF(AND(G19&gt;=10, H19&gt;=10), G19, IF(AND(G19&gt;=10, H19&lt;10), G19, IF(AND(G19&lt;10, H19&gt;=10), G19, ""))))</f>
        <v>10.8</v>
      </c>
      <c r="K19" s="232">
        <f>IF(AND(J19&gt;=7, J20&gt;=7), ROUND(((F19*J19) + (F20*J20)) / (F19 + F20), 2), 0)</f>
        <v>13</v>
      </c>
      <c r="L19" s="232">
        <f>IF(K19&gt;9.99,(F19+F20),0)</f>
        <v>6</v>
      </c>
      <c r="M19" s="263" t="str">
        <f>IF(K19&gt;9.99,"Validé","Non validé")</f>
        <v>Validé</v>
      </c>
    </row>
    <row r="20" spans="2:13" ht="15.6">
      <c r="B20" s="234"/>
      <c r="C20" s="370"/>
      <c r="D20" s="421"/>
      <c r="E20" s="120" t="s">
        <v>57</v>
      </c>
      <c r="F20" s="9">
        <v>3</v>
      </c>
      <c r="G20" s="108">
        <f>[1]BULL_N24!G20</f>
        <v>15.2</v>
      </c>
      <c r="H20" s="359"/>
      <c r="I20" s="358"/>
      <c r="J20" s="93">
        <f>IF(AND(G20&lt;10, H19&lt;10), 'SEMESTRE N°1'!J34, IF(AND(G20&gt;=10, H19&gt;=10), G20, IF(AND(G20&gt;=10, H19&lt;10), G20, IF(AND(G20&lt;10, H19&gt;=10), G20, ""))))</f>
        <v>15.2</v>
      </c>
      <c r="K20" s="232"/>
      <c r="L20" s="232"/>
      <c r="M20" s="263"/>
    </row>
    <row r="21" spans="2:13" ht="15.6">
      <c r="B21" s="234"/>
      <c r="C21" s="370" t="s">
        <v>58</v>
      </c>
      <c r="D21" s="378" t="s">
        <v>59</v>
      </c>
      <c r="E21" s="120" t="s">
        <v>169</v>
      </c>
      <c r="F21" s="9">
        <v>5</v>
      </c>
      <c r="G21" s="108">
        <f>[1]BULL_N24!G21</f>
        <v>11.8</v>
      </c>
      <c r="H21" s="358">
        <f>IF(AND(G21&gt;=7, G22&gt;=7, G23&gt;=7), ROUND(((F21*G21) + (F22*G22)+ (F23*G23)) / (F21 + F22+F23), 2), 0)</f>
        <v>0</v>
      </c>
      <c r="I21" s="358">
        <f>IF(H21&gt;9.99,(F21+F22+F23),0)</f>
        <v>0</v>
      </c>
      <c r="J21" s="93">
        <f>IF(AND(G21&lt;10, H21&lt;10), 'SEMESTRE N°1'!M34, IF(AND(G21&gt;=10, H21&gt;=10), G21, IF(AND(G21&gt;=10, H21&lt;10), G21, IF(AND(G21&lt;10, H21&gt;=10), G21, ""))))</f>
        <v>11.8</v>
      </c>
      <c r="K21" s="280">
        <f>IF(AND(J21&gt;=7, J22&gt;=7, J23&gt;=7), ROUND(((F21*J21) + (F22*J22)+ (F23*J23)) / (F21 + F22+F23), 2), 0)</f>
        <v>0</v>
      </c>
      <c r="L21" s="236">
        <f>IF(K21&gt;9.99,(F21+F22+F23),0)</f>
        <v>0</v>
      </c>
      <c r="M21" s="251" t="str">
        <f>IF(K21&gt;9.99,"Validé","Non validé")</f>
        <v>Non validé</v>
      </c>
    </row>
    <row r="22" spans="2:13" ht="15.6">
      <c r="B22" s="234"/>
      <c r="C22" s="370"/>
      <c r="D22" s="366"/>
      <c r="E22" s="120" t="s">
        <v>61</v>
      </c>
      <c r="F22" s="9">
        <v>3</v>
      </c>
      <c r="G22" s="108">
        <f>[1]BULL_N24!G22</f>
        <v>8.6999999999999993</v>
      </c>
      <c r="H22" s="359"/>
      <c r="I22" s="358"/>
      <c r="J22" s="90">
        <f>G22</f>
        <v>8.6999999999999993</v>
      </c>
      <c r="K22" s="280"/>
      <c r="L22" s="237"/>
      <c r="M22" s="252"/>
    </row>
    <row r="23" spans="2:13" ht="15.6">
      <c r="B23" s="234"/>
      <c r="C23" s="370"/>
      <c r="D23" s="365"/>
      <c r="E23" s="120" t="s">
        <v>62</v>
      </c>
      <c r="F23" s="9">
        <v>3</v>
      </c>
      <c r="G23" s="108">
        <f>[1]BULL_N24!G23</f>
        <v>4.1500000000000004</v>
      </c>
      <c r="H23" s="359"/>
      <c r="I23" s="358"/>
      <c r="J23" s="90">
        <f>G23</f>
        <v>4.1500000000000004</v>
      </c>
      <c r="K23" s="280"/>
      <c r="L23" s="238"/>
      <c r="M23" s="253"/>
    </row>
    <row r="24" spans="2:13" ht="15.6">
      <c r="B24" s="234"/>
      <c r="C24" s="370" t="s">
        <v>63</v>
      </c>
      <c r="D24" s="378" t="s">
        <v>64</v>
      </c>
      <c r="E24" s="120" t="s">
        <v>65</v>
      </c>
      <c r="F24" s="9">
        <v>4</v>
      </c>
      <c r="G24" s="108">
        <f>[1]BULL_N24!G24</f>
        <v>4.9000000000000004</v>
      </c>
      <c r="H24" s="358">
        <f>IF(AND(G24&gt;=7, G25&gt;=7), ROUND(((F24*G24) + (F25*G25)) / (F24 + F25), 2), 0)</f>
        <v>0</v>
      </c>
      <c r="I24" s="358">
        <f>IF(H24&gt;9.99,(F24+F25),0)</f>
        <v>0</v>
      </c>
      <c r="J24" s="90">
        <f>IF(AND(G24&lt;10, H24&lt;10), 'SEMESTRE N°1'!V33, IF(AND(G24&gt;=10, H24&gt;=10), G24, IF(AND(G24&gt;=10, H24&lt;10), G24, IF(AND(G24&lt;10, H24&gt;=10), G24, ""))))</f>
        <v>14</v>
      </c>
      <c r="K24" s="286">
        <f>IF(AND(J24&gt;=7, J25&gt;=7), ROUND(((F24*J24) + (F25*J25)) / (F24 + F25), 2), 0)</f>
        <v>13.28</v>
      </c>
      <c r="L24" s="286">
        <f>IF(K24&gt;9.99,(F24+F25),0)</f>
        <v>8</v>
      </c>
      <c r="M24" s="254" t="str">
        <f>IF(K24&gt;9.99,"Validé","Non validé")</f>
        <v>Validé</v>
      </c>
    </row>
    <row r="25" spans="2:13" ht="15.6">
      <c r="B25" s="234"/>
      <c r="C25" s="370"/>
      <c r="D25" s="365"/>
      <c r="E25" s="120" t="s">
        <v>66</v>
      </c>
      <c r="F25" s="9">
        <v>4</v>
      </c>
      <c r="G25" s="108">
        <f>[1]BULL_N24!G25</f>
        <v>12.564</v>
      </c>
      <c r="H25" s="359"/>
      <c r="I25" s="358"/>
      <c r="J25" s="93">
        <f>IF(AND(G25&lt;10, H24&lt;10), 'SEMESTRE N°1'!Y34, IF(AND(G25&gt;=10, H24&gt;=10), G25, IF(AND(G25&gt;=10, H24&lt;10), G25, IF(AND(G25&lt;10, H24&gt;=10), G25, ""))))</f>
        <v>12.564</v>
      </c>
      <c r="K25" s="287"/>
      <c r="L25" s="287"/>
      <c r="M25" s="255"/>
    </row>
    <row r="26" spans="2:13" ht="17.399999999999999" customHeight="1">
      <c r="B26" s="234"/>
      <c r="C26" s="370" t="s">
        <v>67</v>
      </c>
      <c r="D26" s="364" t="s">
        <v>68</v>
      </c>
      <c r="E26" s="120" t="s">
        <v>69</v>
      </c>
      <c r="F26" s="9">
        <v>2</v>
      </c>
      <c r="G26" s="108">
        <f>[1]BULL_N24!G26</f>
        <v>15</v>
      </c>
      <c r="H26" s="358">
        <f>IF(AND(G26&gt;=7, G27&gt;=7), ROUND(((F26*G26) + (F27*G27)) / (F26 + F27), 2), 0)</f>
        <v>13.89</v>
      </c>
      <c r="I26" s="358">
        <f>IF(H26&gt;9.99,(F26+F27),0)</f>
        <v>5</v>
      </c>
      <c r="J26" s="93">
        <f>IF(AND(G26&lt;10, H26&lt;10), 'SEMESTRE N°1'!AB31, IF(AND(G26&gt;=10, H26&gt;=10), G26, IF(AND(G26&gt;=10, H26&lt;10), G26, IF(AND(G26&lt;10, H26&gt;=10), G26, ""))))</f>
        <v>15</v>
      </c>
      <c r="K26" s="231">
        <f>IF(AND(J26&gt;=7, J27&gt;=7), ROUND(((F26*J26) + (F27*J27)) / (F26 + F27), 2), 0)</f>
        <v>13.89</v>
      </c>
      <c r="L26" s="231">
        <f>IF(K26&gt;9.99,(F26+F27),0)</f>
        <v>5</v>
      </c>
      <c r="M26" s="254" t="str">
        <f>IF(K26&gt;9.99,"Validé","Non validé")</f>
        <v>Validé</v>
      </c>
    </row>
    <row r="27" spans="2:13" ht="24.6" customHeight="1">
      <c r="B27" s="234"/>
      <c r="C27" s="370"/>
      <c r="D27" s="365"/>
      <c r="E27" s="120" t="s">
        <v>70</v>
      </c>
      <c r="F27" s="9">
        <v>3</v>
      </c>
      <c r="G27" s="108">
        <f>[1]BULL_N24!G27</f>
        <v>13.148</v>
      </c>
      <c r="H27" s="359"/>
      <c r="I27" s="358"/>
      <c r="J27" s="93">
        <f>IF(AND(G27&lt;10, H26&lt;10), 'SEMESTRE N°1'!AE34, IF(AND(G27&gt;=10, H26&gt;=10), G27, IF(AND(G27&gt;=10, H26&lt;10), G27, IF(AND(G27&lt;10, H26&gt;=10), G27, ""))))</f>
        <v>13.148</v>
      </c>
      <c r="K27" s="299"/>
      <c r="L27" s="232"/>
      <c r="M27" s="255"/>
    </row>
    <row r="28" spans="2:13" ht="20.25" customHeight="1">
      <c r="B28" s="234"/>
      <c r="C28" s="284" t="s">
        <v>71</v>
      </c>
      <c r="D28" s="285"/>
      <c r="E28" s="284"/>
      <c r="F28" s="19">
        <f>F19+F20+F21+F22+F23+F24+F25+F26+F27</f>
        <v>30</v>
      </c>
      <c r="G28" s="3"/>
      <c r="H28" s="117">
        <f>ROUND((H19+H21+H24+H26)/4,2)</f>
        <v>6.72</v>
      </c>
      <c r="I28" s="110">
        <f>I26+I24+I21+I19</f>
        <v>11</v>
      </c>
      <c r="J28" s="91"/>
      <c r="K28" s="111">
        <f>ROUND((K19+K21+K24+K26)/4,2)</f>
        <v>10.039999999999999</v>
      </c>
      <c r="L28" s="107">
        <f>SUM(L19:L27)</f>
        <v>19</v>
      </c>
      <c r="M28" s="88"/>
    </row>
    <row r="29" spans="2:13" ht="17.100000000000001" customHeight="1">
      <c r="C29" s="11"/>
      <c r="G29" s="11"/>
    </row>
    <row r="30" spans="2:13" ht="17.100000000000001" customHeight="1">
      <c r="B30" s="264" t="s">
        <v>72</v>
      </c>
      <c r="C30" s="265"/>
      <c r="D30" s="21">
        <f>L28</f>
        <v>19</v>
      </c>
      <c r="E30" s="12"/>
      <c r="F30" s="13"/>
      <c r="G30" s="14"/>
      <c r="H30" s="15"/>
      <c r="I30" s="15"/>
      <c r="K30" s="330" t="s">
        <v>73</v>
      </c>
      <c r="L30" s="330"/>
      <c r="M30" s="330"/>
    </row>
    <row r="31" spans="2:13" ht="17.100000000000001" customHeight="1">
      <c r="B31" s="266" t="s">
        <v>74</v>
      </c>
      <c r="C31" s="267"/>
      <c r="D31" s="22" t="str">
        <f>IF(D30=F28,"Semestre validé","Semestre non validé")</f>
        <v>Semestre non validé</v>
      </c>
      <c r="E31" s="13"/>
      <c r="F31" s="13"/>
      <c r="G31" s="16"/>
      <c r="L31" s="13"/>
    </row>
    <row r="32" spans="2:13" ht="17.100000000000001" customHeight="1">
      <c r="B32" s="266" t="s">
        <v>75</v>
      </c>
      <c r="C32" s="267"/>
      <c r="D32" s="1">
        <v>0</v>
      </c>
      <c r="E32" s="13"/>
      <c r="F32" s="13"/>
      <c r="G32" s="16"/>
      <c r="H32" s="13"/>
      <c r="I32" s="13"/>
      <c r="J32" s="13"/>
    </row>
    <row r="33" spans="2:13" ht="10.5" customHeight="1">
      <c r="B33" s="113"/>
      <c r="C33" s="113"/>
      <c r="D33" s="1"/>
      <c r="E33" s="13"/>
      <c r="F33" s="13"/>
      <c r="G33" s="16"/>
      <c r="H33" s="13"/>
      <c r="I33" s="13"/>
      <c r="J33" s="13"/>
    </row>
    <row r="34" spans="2:13" ht="17.100000000000001" customHeight="1">
      <c r="C34" s="16"/>
      <c r="D34" s="13"/>
      <c r="E34" s="13"/>
      <c r="F34" s="13"/>
      <c r="G34" s="275" t="s">
        <v>76</v>
      </c>
      <c r="H34" s="275"/>
      <c r="I34" s="275"/>
      <c r="J34" s="275"/>
      <c r="K34" s="275"/>
      <c r="L34" s="275"/>
      <c r="M34" s="275"/>
    </row>
    <row r="35" spans="2:13" ht="17.100000000000001" customHeight="1">
      <c r="B35" s="321" t="s">
        <v>77</v>
      </c>
      <c r="C35" s="321"/>
      <c r="D35" s="321"/>
      <c r="E35" s="321"/>
      <c r="F35" s="321"/>
      <c r="G35" s="321"/>
      <c r="H35" s="321"/>
      <c r="I35" s="321"/>
      <c r="J35" s="321"/>
      <c r="K35" s="321"/>
      <c r="L35" s="321"/>
      <c r="M35" s="321"/>
    </row>
    <row r="36" spans="2:13" ht="17.100000000000001" customHeight="1">
      <c r="B36" s="321"/>
      <c r="C36" s="321"/>
      <c r="D36" s="321"/>
      <c r="E36" s="321"/>
      <c r="F36" s="321"/>
      <c r="G36" s="321"/>
      <c r="H36" s="321"/>
      <c r="I36" s="321"/>
      <c r="J36" s="321"/>
      <c r="K36" s="321"/>
      <c r="L36" s="321"/>
      <c r="M36" s="321"/>
    </row>
    <row r="39" spans="2:13" hidden="1">
      <c r="B39" s="18" t="s">
        <v>78</v>
      </c>
    </row>
  </sheetData>
  <mergeCells count="58">
    <mergeCell ref="B30:C30"/>
    <mergeCell ref="B31:C31"/>
    <mergeCell ref="B32:C32"/>
    <mergeCell ref="G34:M34"/>
    <mergeCell ref="C28:E28"/>
    <mergeCell ref="B17:B28"/>
    <mergeCell ref="L26:L27"/>
    <mergeCell ref="C24:C25"/>
    <mergeCell ref="D24:D25"/>
    <mergeCell ref="H24:H25"/>
    <mergeCell ref="I24:I25"/>
    <mergeCell ref="K24:K25"/>
    <mergeCell ref="L24:L25"/>
    <mergeCell ref="C26:C27"/>
    <mergeCell ref="D26:D27"/>
    <mergeCell ref="H26:H27"/>
    <mergeCell ref="I26:I27"/>
    <mergeCell ref="K26:K27"/>
    <mergeCell ref="L19:L20"/>
    <mergeCell ref="K17:L17"/>
    <mergeCell ref="L21:L23"/>
    <mergeCell ref="C19:C20"/>
    <mergeCell ref="D19:D20"/>
    <mergeCell ref="H19:H20"/>
    <mergeCell ref="I19:I20"/>
    <mergeCell ref="K19:K20"/>
    <mergeCell ref="C21:C23"/>
    <mergeCell ref="D21:D23"/>
    <mergeCell ref="H21:H23"/>
    <mergeCell ref="I21:I23"/>
    <mergeCell ref="K21:K23"/>
    <mergeCell ref="B9:M9"/>
    <mergeCell ref="C17:D18"/>
    <mergeCell ref="E17:E18"/>
    <mergeCell ref="F17:F18"/>
    <mergeCell ref="H17:I17"/>
    <mergeCell ref="G15:M15"/>
    <mergeCell ref="C11:E11"/>
    <mergeCell ref="G11:L11"/>
    <mergeCell ref="B12:C12"/>
    <mergeCell ref="D12:E12"/>
    <mergeCell ref="G12:L12"/>
    <mergeCell ref="B35:M36"/>
    <mergeCell ref="K30:M30"/>
    <mergeCell ref="E5:M8"/>
    <mergeCell ref="M16:M18"/>
    <mergeCell ref="M19:M20"/>
    <mergeCell ref="M21:M23"/>
    <mergeCell ref="M24:M25"/>
    <mergeCell ref="M26:M27"/>
    <mergeCell ref="C13:E13"/>
    <mergeCell ref="G13:L13"/>
    <mergeCell ref="C14:E14"/>
    <mergeCell ref="G14:L14"/>
    <mergeCell ref="B15:D16"/>
    <mergeCell ref="E15:F16"/>
    <mergeCell ref="G16:I16"/>
    <mergeCell ref="J16:L16"/>
  </mergeCells>
  <pageMargins left="0" right="0" top="0" bottom="0" header="0" footer="0"/>
  <pageSetup paperSize="9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08270-CB85-4612-BBAA-C40553B22A2F}">
  <sheetPr codeName="Feuil27">
    <tabColor rgb="FF7030A0"/>
  </sheetPr>
  <dimension ref="B5:M39"/>
  <sheetViews>
    <sheetView showGridLines="0" view="pageLayout" topLeftCell="A19" zoomScaleNormal="100" workbookViewId="0">
      <selection activeCell="J23" sqref="J23"/>
    </sheetView>
  </sheetViews>
  <sheetFormatPr baseColWidth="10" defaultColWidth="10.88671875" defaultRowHeight="14.4"/>
  <cols>
    <col min="1" max="1" width="4.6640625" style="5" customWidth="1"/>
    <col min="2" max="2" width="10.88671875" style="5"/>
    <col min="3" max="3" width="10.44140625" style="5" customWidth="1"/>
    <col min="4" max="4" width="15.44140625" style="5" customWidth="1"/>
    <col min="5" max="5" width="30.6640625" style="5" customWidth="1"/>
    <col min="6" max="6" width="10.6640625" style="5" customWidth="1"/>
    <col min="7" max="7" width="7.6640625" style="5" customWidth="1"/>
    <col min="8" max="8" width="7.5546875" style="5" customWidth="1"/>
    <col min="9" max="9" width="7.6640625" style="5" customWidth="1"/>
    <col min="10" max="10" width="7" style="5" bestFit="1" customWidth="1"/>
    <col min="11" max="12" width="7.88671875" style="5" customWidth="1"/>
    <col min="13" max="13" width="10.88671875" style="5" customWidth="1"/>
    <col min="14" max="16384" width="10.88671875" style="5"/>
  </cols>
  <sheetData>
    <row r="5" spans="2:13">
      <c r="E5" s="229" t="s">
        <v>89</v>
      </c>
      <c r="F5" s="229"/>
      <c r="G5" s="229"/>
      <c r="H5" s="229"/>
      <c r="I5" s="229"/>
      <c r="J5" s="229"/>
      <c r="K5" s="229"/>
      <c r="L5" s="229"/>
      <c r="M5" s="229"/>
    </row>
    <row r="6" spans="2:13">
      <c r="E6" s="229"/>
      <c r="F6" s="229"/>
      <c r="G6" s="229"/>
      <c r="H6" s="229"/>
      <c r="I6" s="229"/>
      <c r="J6" s="229"/>
      <c r="K6" s="229"/>
      <c r="L6" s="229"/>
      <c r="M6" s="229"/>
    </row>
    <row r="7" spans="2:13">
      <c r="E7" s="229"/>
      <c r="F7" s="229"/>
      <c r="G7" s="229"/>
      <c r="H7" s="229"/>
      <c r="I7" s="229"/>
      <c r="J7" s="229"/>
      <c r="K7" s="229"/>
      <c r="L7" s="229"/>
      <c r="M7" s="229"/>
    </row>
    <row r="8" spans="2:13">
      <c r="E8" s="230"/>
      <c r="F8" s="230"/>
      <c r="G8" s="230"/>
      <c r="H8" s="230"/>
      <c r="I8" s="230"/>
      <c r="J8" s="230"/>
      <c r="K8" s="230"/>
      <c r="L8" s="230"/>
      <c r="M8" s="230"/>
    </row>
    <row r="9" spans="2:13" ht="18" customHeight="1">
      <c r="B9" s="316" t="s">
        <v>35</v>
      </c>
      <c r="C9" s="317"/>
      <c r="D9" s="317"/>
      <c r="E9" s="317"/>
      <c r="F9" s="317"/>
      <c r="G9" s="317"/>
      <c r="H9" s="317"/>
      <c r="I9" s="317"/>
      <c r="J9" s="317"/>
      <c r="K9" s="317"/>
      <c r="L9" s="317"/>
      <c r="M9" s="318"/>
    </row>
    <row r="10" spans="2:13" ht="18" customHeight="1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2:13" ht="17.100000000000001" customHeight="1">
      <c r="B11" s="6" t="s">
        <v>36</v>
      </c>
      <c r="C11" s="292" t="str">
        <f>'SEMESTRE N°1'!A34</f>
        <v>OLOUMANGINI Roger-Rosny</v>
      </c>
      <c r="D11" s="292"/>
      <c r="E11" s="292"/>
      <c r="F11" s="6" t="s">
        <v>37</v>
      </c>
      <c r="G11" s="297" t="str">
        <f>B39</f>
        <v>Licence Pro. Informatique-1ère année Tronc commun</v>
      </c>
      <c r="H11" s="297"/>
      <c r="I11" s="297"/>
      <c r="J11" s="297"/>
      <c r="K11" s="297"/>
      <c r="L11" s="297"/>
    </row>
    <row r="12" spans="2:13" ht="17.100000000000001" customHeight="1">
      <c r="B12" s="246" t="s">
        <v>38</v>
      </c>
      <c r="C12" s="246"/>
      <c r="D12" s="305" t="str">
        <f>'SEMESTRE N°1'!B34</f>
        <v>20/04/1998</v>
      </c>
      <c r="E12" s="294"/>
      <c r="F12" s="6" t="s">
        <v>29</v>
      </c>
      <c r="G12" s="294" t="str">
        <f>'SEMESTRE N°1'!E35</f>
        <v>TC-1</v>
      </c>
      <c r="H12" s="294"/>
      <c r="I12" s="294"/>
      <c r="J12" s="294"/>
      <c r="K12" s="294"/>
      <c r="L12" s="294"/>
    </row>
    <row r="13" spans="2:13" ht="17.100000000000001" customHeight="1">
      <c r="B13" s="6" t="s">
        <v>39</v>
      </c>
      <c r="C13" s="291" t="str">
        <f>'SEMESTRE N°1'!C34</f>
        <v>Gabonaise</v>
      </c>
      <c r="D13" s="292"/>
      <c r="E13" s="292"/>
      <c r="F13" s="6" t="s">
        <v>40</v>
      </c>
      <c r="G13" s="249"/>
      <c r="H13" s="249"/>
      <c r="I13" s="249"/>
      <c r="J13" s="249"/>
      <c r="K13" s="249"/>
      <c r="L13" s="249"/>
    </row>
    <row r="14" spans="2:13" ht="17.100000000000001" customHeight="1">
      <c r="B14" s="6" t="s">
        <v>41</v>
      </c>
      <c r="C14" s="296" t="str">
        <f>'SEMESTRE N°1'!D34</f>
        <v>262024</v>
      </c>
      <c r="D14" s="297"/>
      <c r="E14" s="297"/>
      <c r="F14" s="6" t="s">
        <v>42</v>
      </c>
      <c r="G14" s="249"/>
      <c r="H14" s="249"/>
      <c r="I14" s="249"/>
      <c r="J14" s="249"/>
      <c r="K14" s="249"/>
      <c r="L14" s="249"/>
    </row>
    <row r="15" spans="2:13">
      <c r="B15" s="281" t="s">
        <v>43</v>
      </c>
      <c r="C15" s="281"/>
      <c r="D15" s="281"/>
      <c r="E15" s="282" t="s">
        <v>17</v>
      </c>
      <c r="F15" s="283"/>
      <c r="G15" s="342" t="s">
        <v>44</v>
      </c>
      <c r="H15" s="343"/>
      <c r="I15" s="343"/>
      <c r="J15" s="343"/>
      <c r="K15" s="343"/>
      <c r="L15" s="343"/>
      <c r="M15" s="344"/>
    </row>
    <row r="16" spans="2:13">
      <c r="B16" s="281"/>
      <c r="C16" s="281"/>
      <c r="D16" s="281"/>
      <c r="E16" s="282"/>
      <c r="F16" s="283"/>
      <c r="G16" s="240" t="s">
        <v>83</v>
      </c>
      <c r="H16" s="240"/>
      <c r="I16" s="240"/>
      <c r="J16" s="256" t="s">
        <v>46</v>
      </c>
      <c r="K16" s="257"/>
      <c r="L16" s="338"/>
      <c r="M16" s="339" t="s">
        <v>47</v>
      </c>
    </row>
    <row r="17" spans="2:13">
      <c r="B17" s="233" t="s">
        <v>48</v>
      </c>
      <c r="C17" s="273" t="s">
        <v>49</v>
      </c>
      <c r="D17" s="273"/>
      <c r="E17" s="272" t="s">
        <v>49</v>
      </c>
      <c r="F17" s="272" t="s">
        <v>50</v>
      </c>
      <c r="G17" s="2" t="s">
        <v>51</v>
      </c>
      <c r="H17" s="272" t="s">
        <v>52</v>
      </c>
      <c r="I17" s="272"/>
      <c r="J17" s="87" t="s">
        <v>51</v>
      </c>
      <c r="K17" s="262" t="s">
        <v>52</v>
      </c>
      <c r="L17" s="337"/>
      <c r="M17" s="340"/>
    </row>
    <row r="18" spans="2:13">
      <c r="B18" s="234"/>
      <c r="C18" s="272"/>
      <c r="D18" s="274"/>
      <c r="E18" s="274"/>
      <c r="F18" s="272"/>
      <c r="G18" s="60" t="s">
        <v>53</v>
      </c>
      <c r="H18" s="60" t="s">
        <v>53</v>
      </c>
      <c r="I18" s="60" t="s">
        <v>50</v>
      </c>
      <c r="J18" s="87" t="s">
        <v>53</v>
      </c>
      <c r="K18" s="87" t="s">
        <v>53</v>
      </c>
      <c r="L18" s="87" t="s">
        <v>50</v>
      </c>
      <c r="M18" s="341"/>
    </row>
    <row r="19" spans="2:13" ht="17.399999999999999" customHeight="1">
      <c r="B19" s="234"/>
      <c r="C19" s="423" t="s">
        <v>54</v>
      </c>
      <c r="D19" s="268" t="s">
        <v>55</v>
      </c>
      <c r="E19" s="136" t="s">
        <v>56</v>
      </c>
      <c r="F19" s="9">
        <v>3</v>
      </c>
      <c r="G19" s="108">
        <f>[1]BULL_N25!G19</f>
        <v>0.60000000000000009</v>
      </c>
      <c r="H19" s="358">
        <f>IF(AND(G19&gt;=7, G20&gt;=7), ROUND(((F19*G19) + (F20*G20)) / (F19 + F20), 2), 0)</f>
        <v>0</v>
      </c>
      <c r="I19" s="358">
        <f>IF(H19&gt;9.99,(F19+F20),0)</f>
        <v>0</v>
      </c>
      <c r="J19" s="90">
        <f>IF(AND(G19&lt;10, H19&lt;10), 'SEMESTRE N°1'!G35, IF(AND(G19&gt;=10, H19&gt;=10), G19, IF(AND(G19&gt;=10, H19&lt;10), G19, IF(AND(G19&lt;10, H19&gt;=10), G19, ""))))</f>
        <v>0</v>
      </c>
      <c r="K19" s="235">
        <f>IF(AND(J19&gt;=7, J20&gt;=7), ROUND(((F19*J19) + (F20*J20)) / (F19 + F20), 2), 0)</f>
        <v>0</v>
      </c>
      <c r="L19" s="235">
        <f>IF(K19&gt;9.99,(F19+F20),0)</f>
        <v>0</v>
      </c>
      <c r="M19" s="263" t="str">
        <f>IF(K19&gt;9.99,"Validé","Non validé")</f>
        <v>Non validé</v>
      </c>
    </row>
    <row r="20" spans="2:13" ht="18.899999999999999" customHeight="1">
      <c r="B20" s="234"/>
      <c r="C20" s="423"/>
      <c r="D20" s="424"/>
      <c r="E20" s="136" t="s">
        <v>57</v>
      </c>
      <c r="F20" s="9">
        <v>3</v>
      </c>
      <c r="G20" s="108">
        <f>[1]BULL_N25!G20</f>
        <v>0</v>
      </c>
      <c r="H20" s="359"/>
      <c r="I20" s="358"/>
      <c r="J20" s="93">
        <f>IF(AND(G20&lt;10, H19&lt;10), 'SEMESTRE N°1'!J35, IF(AND(G20&gt;=10, H19&gt;=10), G20, IF(AND(G20&gt;=10, H19&lt;10), G20, IF(AND(G20&lt;10, H19&gt;=10), G20, ""))))</f>
        <v>0</v>
      </c>
      <c r="K20" s="235"/>
      <c r="L20" s="235"/>
      <c r="M20" s="263"/>
    </row>
    <row r="21" spans="2:13" ht="14.4" customHeight="1">
      <c r="B21" s="234"/>
      <c r="C21" s="423" t="s">
        <v>58</v>
      </c>
      <c r="D21" s="268" t="s">
        <v>59</v>
      </c>
      <c r="E21" s="136" t="s">
        <v>60</v>
      </c>
      <c r="F21" s="9">
        <v>5</v>
      </c>
      <c r="G21" s="108">
        <f>[1]BULL_N25!G21</f>
        <v>5.3999999999999995</v>
      </c>
      <c r="H21" s="358">
        <f>IF(AND(G21&gt;=7, G22&gt;=7, G23&gt;=7), ROUND(((F21*G21) + (F22*G22)+ (F23*G23)) / (F21 + F22+F23), 2), 0)</f>
        <v>0</v>
      </c>
      <c r="I21" s="358">
        <f>IF(H21&gt;9.99,(F21+F22+F23),0)</f>
        <v>0</v>
      </c>
      <c r="J21" s="93">
        <f>IF(AND(G21&lt;10, H21&lt;10), 'SEMESTRE N°1'!M35, IF(AND(G21&gt;=10, H21&gt;=10), G21, IF(AND(G21&gt;=10, H21&lt;10), G21, IF(AND(G21&lt;10, H21&gt;=10), G21, ""))))</f>
        <v>0</v>
      </c>
      <c r="K21" s="280">
        <f>IF(AND(J21&gt;=7, J22&gt;=7, J23&gt;=7), ROUND(((F21*J21) + (F22*J22)+ (F23*J23)) / (F21 + F22+F23), 2), 0)</f>
        <v>0</v>
      </c>
      <c r="L21" s="236">
        <f>IF(K21&gt;9.99,(F21+F22+F23),0)</f>
        <v>0</v>
      </c>
      <c r="M21" s="251" t="str">
        <f>IF(K21&gt;9.99,"Validé","Non validé")</f>
        <v>Non validé</v>
      </c>
    </row>
    <row r="22" spans="2:13" ht="15.6">
      <c r="B22" s="234"/>
      <c r="C22" s="423"/>
      <c r="D22" s="279"/>
      <c r="E22" s="136" t="s">
        <v>61</v>
      </c>
      <c r="F22" s="9">
        <v>3</v>
      </c>
      <c r="G22" s="108">
        <f>[1]BULL_N25!G22</f>
        <v>1.7999999999999998</v>
      </c>
      <c r="H22" s="359"/>
      <c r="I22" s="358"/>
      <c r="J22" s="90">
        <f>IF(AND(G22&lt;10, H21&lt;10), 'SEMESTRE N°1'!P35, IF(AND(G22&gt;=10, H21&gt;=10), G22, IF(AND(G22&gt;=10, H21&lt;10), G22, IF(AND(G22&lt;10, H21&gt;=10), G22, ""))))</f>
        <v>0</v>
      </c>
      <c r="K22" s="280"/>
      <c r="L22" s="237"/>
      <c r="M22" s="252"/>
    </row>
    <row r="23" spans="2:13" ht="15" customHeight="1">
      <c r="B23" s="234"/>
      <c r="C23" s="423"/>
      <c r="D23" s="269"/>
      <c r="E23" s="136" t="s">
        <v>62</v>
      </c>
      <c r="F23" s="9">
        <v>3</v>
      </c>
      <c r="G23" s="108">
        <f>[1]BULL_N25!G23</f>
        <v>0</v>
      </c>
      <c r="H23" s="359"/>
      <c r="I23" s="358"/>
      <c r="J23" s="90">
        <f>IF(AND(G23&lt;10, H21&lt;10), 'SEMESTRE N°1'!J35, IF(AND(G23&gt;=10, H21&gt;=10), G23, IF(AND(G23&gt;=10, H21&lt;10), G23, IF(AND(G23&lt;10, H21&gt;=10), G23, ""))))</f>
        <v>0</v>
      </c>
      <c r="K23" s="280"/>
      <c r="L23" s="238"/>
      <c r="M23" s="253"/>
    </row>
    <row r="24" spans="2:13" ht="18.600000000000001" customHeight="1">
      <c r="B24" s="234"/>
      <c r="C24" s="423" t="s">
        <v>63</v>
      </c>
      <c r="D24" s="425" t="s">
        <v>64</v>
      </c>
      <c r="E24" s="136" t="s">
        <v>65</v>
      </c>
      <c r="F24" s="9">
        <v>4</v>
      </c>
      <c r="G24" s="108">
        <f>[1]BULL_N25!G24</f>
        <v>2.2000000000000002</v>
      </c>
      <c r="H24" s="358">
        <f>IF(AND(G24&gt;=7, G25&gt;=7), ROUND(((F24*G24) + (F25*G25)) / (F24 + F25), 2), 0)</f>
        <v>0</v>
      </c>
      <c r="I24" s="358">
        <f>IF(H24&gt;9.99,(F24+F25),0)</f>
        <v>0</v>
      </c>
      <c r="J24" s="90">
        <f>IF(AND(G24&lt;10, H24&lt;10), 'SEMESTRE N°1'!V35, IF(AND(G24&gt;=10, H24&gt;=10), G24, IF(AND(G24&gt;=10, H24&lt;10), G24, IF(AND(G24&lt;10, H24&gt;=10), G24, ""))))</f>
        <v>0</v>
      </c>
      <c r="K24" s="286">
        <f>IF(AND(J24&gt;=7, J25&gt;=7), ROUND(((F24*J24) + (F25*J25)) / (F24 + F25), 2), 0)</f>
        <v>0</v>
      </c>
      <c r="L24" s="286">
        <f>IF(K24&gt;9.99,(F24+F25),0)</f>
        <v>0</v>
      </c>
      <c r="M24" s="254" t="str">
        <f>IF(K24&gt;9.99,"Validé","Non validé")</f>
        <v>Non validé</v>
      </c>
    </row>
    <row r="25" spans="2:13" ht="19.5" customHeight="1">
      <c r="B25" s="234"/>
      <c r="C25" s="423"/>
      <c r="D25" s="269"/>
      <c r="E25" s="136" t="s">
        <v>66</v>
      </c>
      <c r="F25" s="9">
        <v>4</v>
      </c>
      <c r="G25" s="108">
        <f>[1]BULL_N25!G25</f>
        <v>0</v>
      </c>
      <c r="H25" s="359"/>
      <c r="I25" s="358"/>
      <c r="J25" s="90">
        <f>IF(AND(G25&lt;10, H24&lt;10), 'SEMESTRE N°1'!Y35, IF(AND(G25&gt;=10, H24&gt;=10), G25, IF(AND(G25&gt;=10, H24&lt;10), G25, IF(AND(G25&lt;10, H24&gt;=10), G25, ""))))</f>
        <v>0</v>
      </c>
      <c r="K25" s="287"/>
      <c r="L25" s="287"/>
      <c r="M25" s="255"/>
    </row>
    <row r="26" spans="2:13" ht="17.399999999999999" customHeight="1">
      <c r="B26" s="234"/>
      <c r="C26" s="423" t="s">
        <v>67</v>
      </c>
      <c r="D26" s="268" t="s">
        <v>68</v>
      </c>
      <c r="E26" s="136" t="s">
        <v>69</v>
      </c>
      <c r="F26" s="9">
        <v>2</v>
      </c>
      <c r="G26" s="108">
        <f>[1]BULL_N25!G26</f>
        <v>9.2999999999999989</v>
      </c>
      <c r="H26" s="358">
        <f>IF(AND(G26&gt;=7, G27&gt;=7), ROUND(((F26*G26) + (F27*G27)) / (F26 + F27), 2), 0)</f>
        <v>0</v>
      </c>
      <c r="I26" s="358">
        <f>IF(H26&gt;9.99,(F26+F27),0)</f>
        <v>0</v>
      </c>
      <c r="J26" s="90">
        <f>IF(AND(G26&lt;10, H26&lt;10), 'SEMESTRE N°1'!AB35, IF(AND(G26&gt;=10, H26&gt;=10), G26, IF(AND(G26&gt;=10, H26&lt;10), G26, IF(AND(G26&lt;10, H26&gt;=10), G26, ""))))</f>
        <v>0</v>
      </c>
      <c r="K26" s="286">
        <f>IF(AND(J26&gt;=7, J27&gt;=7), ROUND(((F26*J26) + (F27*J27)) / (F26 + F27), 2), 0)</f>
        <v>0</v>
      </c>
      <c r="L26" s="286">
        <f>IF(K26&gt;9.99,(F26+F27),0)</f>
        <v>0</v>
      </c>
      <c r="M26" s="254" t="str">
        <f>IF(K26&gt;9.99,"Validé","Non validé")</f>
        <v>Non validé</v>
      </c>
    </row>
    <row r="27" spans="2:13" ht="24.6" customHeight="1">
      <c r="B27" s="234"/>
      <c r="C27" s="423"/>
      <c r="D27" s="269"/>
      <c r="E27" s="136" t="s">
        <v>70</v>
      </c>
      <c r="F27" s="9">
        <v>3</v>
      </c>
      <c r="G27" s="108">
        <f>[1]BULL_N25!G27</f>
        <v>3.3000000000000003</v>
      </c>
      <c r="H27" s="359"/>
      <c r="I27" s="358"/>
      <c r="J27" s="93">
        <f>IF(AND(G27&lt;10, H26&lt;10), 'SEMESTRE N°1'!AE35, IF(AND(G27&gt;=10, H26&gt;=10), G27, IF(AND(G27&gt;=10, H26&lt;10), G27, IF(AND(G27&lt;10, H26&gt;=10), G27, ""))))</f>
        <v>0</v>
      </c>
      <c r="K27" s="287"/>
      <c r="L27" s="235"/>
      <c r="M27" s="255"/>
    </row>
    <row r="28" spans="2:13">
      <c r="B28" s="234"/>
      <c r="C28" s="284" t="s">
        <v>71</v>
      </c>
      <c r="D28" s="285"/>
      <c r="E28" s="285"/>
      <c r="F28" s="19">
        <f>F19+F20+F21+F22+F23+F24+F25+F26+F27</f>
        <v>30</v>
      </c>
      <c r="G28" s="109"/>
      <c r="H28" s="117">
        <f>ROUND((H19+H21+H24+H26)/4,2)</f>
        <v>0</v>
      </c>
      <c r="I28" s="110">
        <f>I26+I24+I21+I19</f>
        <v>0</v>
      </c>
      <c r="J28" s="91"/>
      <c r="K28" s="111">
        <f>ROUND((K19+K21+K24+K26)/4,2)</f>
        <v>0</v>
      </c>
      <c r="L28" s="107">
        <f>SUM(L19:L27)</f>
        <v>0</v>
      </c>
      <c r="M28" s="88"/>
    </row>
    <row r="29" spans="2:13" ht="17.100000000000001" customHeight="1">
      <c r="C29" s="11"/>
      <c r="G29" s="11"/>
    </row>
    <row r="30" spans="2:13" ht="17.100000000000001" customHeight="1">
      <c r="B30" s="264" t="s">
        <v>72</v>
      </c>
      <c r="C30" s="265"/>
      <c r="D30" s="21">
        <f>I19+I21+I24+I26</f>
        <v>0</v>
      </c>
      <c r="E30" s="12"/>
      <c r="F30" s="13"/>
      <c r="G30" s="14"/>
      <c r="H30" s="15"/>
      <c r="I30" s="15"/>
      <c r="K30" s="39" t="s">
        <v>73</v>
      </c>
      <c r="L30" s="39"/>
      <c r="M30" s="36"/>
    </row>
    <row r="31" spans="2:13" ht="17.100000000000001" customHeight="1">
      <c r="B31" s="266" t="s">
        <v>74</v>
      </c>
      <c r="C31" s="267"/>
      <c r="D31" s="22" t="str">
        <f>IF(D30=F28,"Semestre validé","Semestre non validé")</f>
        <v>Semestre non validé</v>
      </c>
      <c r="E31" s="13"/>
      <c r="F31" s="13"/>
      <c r="G31" s="16"/>
      <c r="L31" s="13"/>
    </row>
    <row r="32" spans="2:13" ht="17.100000000000001" customHeight="1">
      <c r="B32" s="266" t="s">
        <v>75</v>
      </c>
      <c r="C32" s="267"/>
      <c r="D32" s="1">
        <v>0</v>
      </c>
      <c r="E32" s="13"/>
      <c r="F32" s="13"/>
      <c r="G32" s="16"/>
      <c r="H32" s="13"/>
      <c r="I32" s="13"/>
      <c r="J32" s="13"/>
    </row>
    <row r="33" spans="2:13" ht="8.25" customHeight="1">
      <c r="C33" s="16"/>
      <c r="D33" s="13"/>
      <c r="E33" s="13"/>
      <c r="F33" s="13"/>
      <c r="G33" s="16"/>
      <c r="H33" s="13"/>
      <c r="I33" s="13"/>
      <c r="J33" s="13"/>
    </row>
    <row r="34" spans="2:13" ht="17.100000000000001" customHeight="1">
      <c r="C34" s="16"/>
      <c r="D34" s="13"/>
      <c r="E34" s="13"/>
      <c r="F34" s="13"/>
      <c r="G34" s="332" t="s">
        <v>76</v>
      </c>
      <c r="H34" s="332"/>
      <c r="I34" s="332"/>
      <c r="J34" s="332"/>
      <c r="K34" s="332"/>
      <c r="L34" s="332"/>
      <c r="M34" s="332"/>
    </row>
    <row r="35" spans="2:13" ht="17.100000000000001" customHeight="1">
      <c r="B35" s="422" t="s">
        <v>77</v>
      </c>
      <c r="C35" s="422"/>
      <c r="D35" s="422"/>
      <c r="E35" s="422"/>
      <c r="F35" s="422"/>
      <c r="G35" s="422"/>
      <c r="H35" s="422"/>
      <c r="I35" s="422"/>
      <c r="J35" s="422"/>
      <c r="K35" s="422"/>
      <c r="L35" s="422"/>
      <c r="M35" s="422"/>
    </row>
    <row r="36" spans="2:13" ht="17.100000000000001" customHeight="1">
      <c r="B36" s="422"/>
      <c r="C36" s="422"/>
      <c r="D36" s="422"/>
      <c r="E36" s="422"/>
      <c r="F36" s="422"/>
      <c r="G36" s="422"/>
      <c r="H36" s="422"/>
      <c r="I36" s="422"/>
      <c r="J36" s="422"/>
      <c r="K36" s="422"/>
      <c r="L36" s="422"/>
      <c r="M36" s="422"/>
    </row>
    <row r="39" spans="2:13" hidden="1">
      <c r="B39" s="18" t="s">
        <v>78</v>
      </c>
    </row>
  </sheetData>
  <mergeCells count="57">
    <mergeCell ref="G34:M34"/>
    <mergeCell ref="C28:E28"/>
    <mergeCell ref="B30:C30"/>
    <mergeCell ref="B31:C31"/>
    <mergeCell ref="B32:C32"/>
    <mergeCell ref="L26:L27"/>
    <mergeCell ref="C24:C25"/>
    <mergeCell ref="D24:D25"/>
    <mergeCell ref="H24:H25"/>
    <mergeCell ref="I24:I25"/>
    <mergeCell ref="K24:K25"/>
    <mergeCell ref="L24:L25"/>
    <mergeCell ref="C26:C27"/>
    <mergeCell ref="D26:D27"/>
    <mergeCell ref="H26:H27"/>
    <mergeCell ref="I26:I27"/>
    <mergeCell ref="K26:K27"/>
    <mergeCell ref="L19:L20"/>
    <mergeCell ref="L21:L23"/>
    <mergeCell ref="C19:C20"/>
    <mergeCell ref="D19:D20"/>
    <mergeCell ref="H19:H20"/>
    <mergeCell ref="I19:I20"/>
    <mergeCell ref="K19:K20"/>
    <mergeCell ref="C21:C23"/>
    <mergeCell ref="D21:D23"/>
    <mergeCell ref="H21:H23"/>
    <mergeCell ref="I21:I23"/>
    <mergeCell ref="K21:K23"/>
    <mergeCell ref="G16:I16"/>
    <mergeCell ref="B17:B28"/>
    <mergeCell ref="C17:D18"/>
    <mergeCell ref="E17:E18"/>
    <mergeCell ref="F17:F18"/>
    <mergeCell ref="H17:I17"/>
    <mergeCell ref="E5:M8"/>
    <mergeCell ref="C11:E11"/>
    <mergeCell ref="G11:L11"/>
    <mergeCell ref="B12:C12"/>
    <mergeCell ref="D12:E12"/>
    <mergeCell ref="G12:L12"/>
    <mergeCell ref="M24:M25"/>
    <mergeCell ref="M26:M27"/>
    <mergeCell ref="G15:M15"/>
    <mergeCell ref="B9:M9"/>
    <mergeCell ref="B35:M36"/>
    <mergeCell ref="J16:L16"/>
    <mergeCell ref="M16:M18"/>
    <mergeCell ref="K17:L17"/>
    <mergeCell ref="M19:M20"/>
    <mergeCell ref="M21:M23"/>
    <mergeCell ref="C13:E13"/>
    <mergeCell ref="G13:L13"/>
    <mergeCell ref="C14:E14"/>
    <mergeCell ref="G14:L14"/>
    <mergeCell ref="B15:D16"/>
    <mergeCell ref="E15:F16"/>
  </mergeCells>
  <pageMargins left="0" right="0" top="0" bottom="0" header="0" footer="0"/>
  <pageSetup paperSize="9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87F2-52D1-49CC-8E27-80424AC23F16}">
  <sheetPr codeName="Feuil28">
    <tabColor rgb="FF7030A0"/>
  </sheetPr>
  <dimension ref="B5:M38"/>
  <sheetViews>
    <sheetView showGridLines="0" topLeftCell="A7" zoomScaleNormal="100" workbookViewId="0">
      <selection activeCell="K19" sqref="K19:L28"/>
    </sheetView>
  </sheetViews>
  <sheetFormatPr baseColWidth="10" defaultColWidth="10.88671875" defaultRowHeight="14.4"/>
  <cols>
    <col min="1" max="1" width="4.6640625" style="5" customWidth="1"/>
    <col min="2" max="2" width="10.88671875" style="5"/>
    <col min="3" max="3" width="10.88671875" style="5" customWidth="1"/>
    <col min="4" max="4" width="14.88671875" style="5" customWidth="1"/>
    <col min="5" max="5" width="30.6640625" style="5" customWidth="1"/>
    <col min="6" max="6" width="10.6640625" style="5" customWidth="1"/>
    <col min="7" max="9" width="7.6640625" style="5" customWidth="1"/>
    <col min="10" max="10" width="7" style="5" bestFit="1" customWidth="1"/>
    <col min="11" max="11" width="8.109375" style="5" customWidth="1"/>
    <col min="12" max="12" width="8.6640625" style="5" customWidth="1"/>
    <col min="13" max="13" width="10.5546875" style="5" customWidth="1"/>
    <col min="14" max="16384" width="10.88671875" style="5"/>
  </cols>
  <sheetData>
    <row r="5" spans="2:13">
      <c r="E5" s="229" t="s">
        <v>84</v>
      </c>
      <c r="F5" s="229"/>
      <c r="G5" s="229"/>
      <c r="H5" s="229"/>
      <c r="I5" s="229"/>
      <c r="J5" s="229"/>
      <c r="K5" s="229"/>
      <c r="L5" s="229"/>
      <c r="M5" s="229"/>
    </row>
    <row r="6" spans="2:13">
      <c r="E6" s="229"/>
      <c r="F6" s="229"/>
      <c r="G6" s="229"/>
      <c r="H6" s="229"/>
      <c r="I6" s="229"/>
      <c r="J6" s="229"/>
      <c r="K6" s="229"/>
      <c r="L6" s="229"/>
      <c r="M6" s="229"/>
    </row>
    <row r="7" spans="2:13">
      <c r="E7" s="229"/>
      <c r="F7" s="229"/>
      <c r="G7" s="229"/>
      <c r="H7" s="229"/>
      <c r="I7" s="229"/>
      <c r="J7" s="229"/>
      <c r="K7" s="229"/>
      <c r="L7" s="229"/>
      <c r="M7" s="229"/>
    </row>
    <row r="8" spans="2:13">
      <c r="E8" s="230"/>
      <c r="F8" s="230"/>
      <c r="G8" s="230"/>
      <c r="H8" s="230"/>
      <c r="I8" s="230"/>
      <c r="J8" s="230"/>
      <c r="K8" s="230"/>
      <c r="L8" s="230"/>
      <c r="M8" s="230"/>
    </row>
    <row r="9" spans="2:13" ht="18" customHeight="1">
      <c r="B9" s="316" t="s">
        <v>35</v>
      </c>
      <c r="C9" s="317"/>
      <c r="D9" s="317"/>
      <c r="E9" s="317"/>
      <c r="F9" s="317"/>
      <c r="G9" s="317"/>
      <c r="H9" s="317"/>
      <c r="I9" s="317"/>
      <c r="J9" s="317"/>
      <c r="K9" s="317"/>
      <c r="L9" s="317"/>
      <c r="M9" s="318"/>
    </row>
    <row r="10" spans="2:13" s="13" customFormat="1" ht="18" customHeight="1"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</row>
    <row r="11" spans="2:13" ht="17.100000000000001" customHeight="1">
      <c r="B11" s="6" t="s">
        <v>36</v>
      </c>
      <c r="C11" s="292" t="str">
        <f>'SEMESTRE N°1'!A35</f>
        <v>PASTY HOUSSENI Abdou Nassere</v>
      </c>
      <c r="D11" s="292"/>
      <c r="E11" s="292"/>
      <c r="F11" s="6" t="s">
        <v>37</v>
      </c>
      <c r="G11" s="294" t="str">
        <f>B38</f>
        <v>Licence Pro. Informatique-1ère année Tronc commun</v>
      </c>
      <c r="H11" s="294"/>
      <c r="I11" s="294"/>
      <c r="J11" s="294"/>
      <c r="K11" s="294"/>
      <c r="L11" s="294"/>
    </row>
    <row r="12" spans="2:13" ht="17.100000000000001" customHeight="1">
      <c r="B12" s="246" t="s">
        <v>38</v>
      </c>
      <c r="C12" s="246"/>
      <c r="D12" s="305" t="str">
        <f>'SEMESTRE N°1'!B35</f>
        <v>18/05/2003</v>
      </c>
      <c r="E12" s="294"/>
      <c r="F12" s="6" t="s">
        <v>29</v>
      </c>
      <c r="G12" s="294" t="str">
        <f>'SEMESTRE N°1'!E36</f>
        <v>TC-1</v>
      </c>
      <c r="H12" s="294"/>
      <c r="I12" s="294"/>
      <c r="J12" s="294"/>
      <c r="K12" s="294"/>
      <c r="L12" s="294"/>
    </row>
    <row r="13" spans="2:13" ht="17.100000000000001" customHeight="1">
      <c r="B13" s="6" t="s">
        <v>39</v>
      </c>
      <c r="C13" s="291" t="str">
        <f>'SEMESTRE N°1'!C35</f>
        <v>Gabonaise</v>
      </c>
      <c r="D13" s="292"/>
      <c r="E13" s="292"/>
      <c r="F13" s="6" t="s">
        <v>40</v>
      </c>
      <c r="G13" s="249"/>
      <c r="H13" s="249"/>
      <c r="I13" s="249"/>
      <c r="J13" s="249"/>
      <c r="K13" s="249"/>
      <c r="L13" s="249"/>
    </row>
    <row r="14" spans="2:13" ht="17.100000000000001" customHeight="1">
      <c r="B14" s="6" t="s">
        <v>41</v>
      </c>
      <c r="C14" s="296" t="str">
        <f>'SEMESTRE N°1'!D35</f>
        <v>272024</v>
      </c>
      <c r="D14" s="297"/>
      <c r="E14" s="297"/>
      <c r="F14" s="6" t="s">
        <v>42</v>
      </c>
      <c r="G14" s="249"/>
      <c r="H14" s="249"/>
      <c r="I14" s="249"/>
      <c r="J14" s="249"/>
      <c r="K14" s="249"/>
      <c r="L14" s="249"/>
    </row>
    <row r="15" spans="2:13">
      <c r="B15" s="281" t="s">
        <v>43</v>
      </c>
      <c r="C15" s="281"/>
      <c r="D15" s="281"/>
      <c r="E15" s="282" t="s">
        <v>17</v>
      </c>
      <c r="F15" s="283"/>
      <c r="G15" s="342" t="s">
        <v>44</v>
      </c>
      <c r="H15" s="343"/>
      <c r="I15" s="343"/>
      <c r="J15" s="343"/>
      <c r="K15" s="343"/>
      <c r="L15" s="343"/>
      <c r="M15" s="344"/>
    </row>
    <row r="16" spans="2:13">
      <c r="B16" s="281"/>
      <c r="C16" s="281"/>
      <c r="D16" s="281"/>
      <c r="E16" s="282"/>
      <c r="F16" s="283"/>
      <c r="G16" s="240" t="s">
        <v>83</v>
      </c>
      <c r="H16" s="240"/>
      <c r="I16" s="240"/>
      <c r="J16" s="256" t="s">
        <v>46</v>
      </c>
      <c r="K16" s="257"/>
      <c r="L16" s="338"/>
      <c r="M16" s="339" t="s">
        <v>47</v>
      </c>
    </row>
    <row r="17" spans="2:13">
      <c r="B17" s="233" t="s">
        <v>48</v>
      </c>
      <c r="C17" s="273" t="s">
        <v>49</v>
      </c>
      <c r="D17" s="273"/>
      <c r="E17" s="272" t="s">
        <v>49</v>
      </c>
      <c r="F17" s="272" t="s">
        <v>50</v>
      </c>
      <c r="G17" s="2" t="s">
        <v>51</v>
      </c>
      <c r="H17" s="272" t="s">
        <v>52</v>
      </c>
      <c r="I17" s="272"/>
      <c r="J17" s="87" t="s">
        <v>51</v>
      </c>
      <c r="K17" s="262" t="s">
        <v>52</v>
      </c>
      <c r="L17" s="337"/>
      <c r="M17" s="340"/>
    </row>
    <row r="18" spans="2:13">
      <c r="B18" s="234"/>
      <c r="C18" s="272"/>
      <c r="D18" s="274"/>
      <c r="E18" s="272"/>
      <c r="F18" s="272"/>
      <c r="G18" s="60" t="s">
        <v>53</v>
      </c>
      <c r="H18" s="60" t="s">
        <v>53</v>
      </c>
      <c r="I18" s="60" t="s">
        <v>50</v>
      </c>
      <c r="J18" s="87" t="s">
        <v>53</v>
      </c>
      <c r="K18" s="87" t="s">
        <v>53</v>
      </c>
      <c r="L18" s="87" t="s">
        <v>50</v>
      </c>
      <c r="M18" s="341"/>
    </row>
    <row r="19" spans="2:13" ht="17.399999999999999" customHeight="1">
      <c r="B19" s="234"/>
      <c r="C19" s="423" t="s">
        <v>54</v>
      </c>
      <c r="D19" s="268" t="s">
        <v>55</v>
      </c>
      <c r="E19" s="136" t="s">
        <v>56</v>
      </c>
      <c r="F19" s="9">
        <v>3</v>
      </c>
      <c r="G19" s="108">
        <f>[1]BULL_N26!G19</f>
        <v>2.8000000000000003</v>
      </c>
      <c r="H19" s="358" t="s">
        <v>161</v>
      </c>
      <c r="I19" s="358">
        <f>IF(H19&gt;9.99,(F19+F20),0)</f>
        <v>6</v>
      </c>
      <c r="J19" s="90">
        <f>IF(AND(G19&lt;10, H19&lt;10), 'SEMESTRE N°1'!G36, IF(AND(G19&gt;=10, H19&gt;=10), G19, IF(AND(G19&gt;=10, H19&lt;10), G19, IF(AND(G19&lt;10, H19&gt;=10), G19, ""))))</f>
        <v>2.8000000000000003</v>
      </c>
      <c r="K19" s="235">
        <f>IF(AND(J19&gt;=7, J20&gt;=7), ROUND(((F19*J19) + (F20*J20)) / (F19 + F20), 2), 0)</f>
        <v>0</v>
      </c>
      <c r="L19" s="235">
        <f>IF(K19&gt;9.99,(F19+F20),0)</f>
        <v>0</v>
      </c>
      <c r="M19" s="263" t="str">
        <f>IF(K19&gt;9.99,"Validé","Non validé")</f>
        <v>Non validé</v>
      </c>
    </row>
    <row r="20" spans="2:13" ht="15.6">
      <c r="B20" s="234"/>
      <c r="C20" s="423"/>
      <c r="D20" s="424"/>
      <c r="E20" s="136" t="s">
        <v>57</v>
      </c>
      <c r="F20" s="9">
        <v>3</v>
      </c>
      <c r="G20" s="108">
        <f>[1]BULL_N26!G20</f>
        <v>0</v>
      </c>
      <c r="H20" s="359"/>
      <c r="I20" s="358"/>
      <c r="J20" s="93">
        <f>IF(AND(G20&lt;10, H19&lt;10), 'SEMESTRE N°1'!J36, IF(AND(G20&gt;=10, H19&gt;=10), G20, IF(AND(G20&gt;=10, H19&lt;10), G20, IF(AND(G20&lt;10, H19&gt;=10), G20, ""))))</f>
        <v>0</v>
      </c>
      <c r="K20" s="235"/>
      <c r="L20" s="235"/>
      <c r="M20" s="263"/>
    </row>
    <row r="21" spans="2:13" ht="14.4" customHeight="1">
      <c r="B21" s="234"/>
      <c r="C21" s="423" t="s">
        <v>58</v>
      </c>
      <c r="D21" s="268" t="s">
        <v>59</v>
      </c>
      <c r="E21" s="136" t="s">
        <v>60</v>
      </c>
      <c r="F21" s="9">
        <v>5</v>
      </c>
      <c r="G21" s="108">
        <f>[1]BULL_N26!G21</f>
        <v>0</v>
      </c>
      <c r="H21" s="358">
        <f>IF(AND(G21&gt;=7, G22&gt;=7, G23&gt;=7), ROUND(((F21*G21) + (F22*G22)+ (F23*G23)) / (F21 + F22+F23), 2), 0)</f>
        <v>0</v>
      </c>
      <c r="I21" s="358">
        <f>IF(H21&gt;9.99,(F21+F22+F23),0)</f>
        <v>0</v>
      </c>
      <c r="J21" s="93">
        <f>IF(AND(G21&lt;10, H21&lt;10), 'SEMESTRE N°1'!M36, IF(AND(G21&gt;=10, H21&gt;=10), G21, IF(AND(G21&gt;=10, H21&lt;10), G21, IF(AND(G21&lt;10, H21&gt;=10), G21, ""))))</f>
        <v>0</v>
      </c>
      <c r="K21" s="280">
        <f>IF(AND(J21&gt;=7, J22&gt;=7, J23&gt;=7), ROUND(((F21*J21) + (F22*J22)+ (F23*J23)) / (F21 + F22+F23), 2), 0)</f>
        <v>0</v>
      </c>
      <c r="L21" s="236">
        <f>IF(K21&gt;9.99,(F21+F22+F23),0)</f>
        <v>0</v>
      </c>
      <c r="M21" s="251" t="str">
        <f>IF(K21&gt;9.99,"Validé","Non validé")</f>
        <v>Non validé</v>
      </c>
    </row>
    <row r="22" spans="2:13" ht="15.6">
      <c r="B22" s="234"/>
      <c r="C22" s="423"/>
      <c r="D22" s="279"/>
      <c r="E22" s="136" t="s">
        <v>61</v>
      </c>
      <c r="F22" s="9">
        <v>3</v>
      </c>
      <c r="G22" s="108">
        <f>[1]BULL_N26!G22</f>
        <v>0</v>
      </c>
      <c r="H22" s="359"/>
      <c r="I22" s="358"/>
      <c r="J22" s="90">
        <f>IF(AND(G22&lt;10, H21&lt;10), 'SEMESTRE N°1'!P36, IF(AND(G22&gt;=10, H21&gt;=10), G22, IF(AND(G22&gt;=10, H21&lt;10), G22, IF(AND(G22&lt;10, H21&gt;=10), G22, ""))))</f>
        <v>10</v>
      </c>
      <c r="K22" s="280"/>
      <c r="L22" s="237"/>
      <c r="M22" s="252"/>
    </row>
    <row r="23" spans="2:13" ht="15" customHeight="1">
      <c r="B23" s="234"/>
      <c r="C23" s="423"/>
      <c r="D23" s="269"/>
      <c r="E23" s="136" t="s">
        <v>62</v>
      </c>
      <c r="F23" s="9">
        <v>3</v>
      </c>
      <c r="G23" s="108">
        <f>[1]BULL_N26!G23</f>
        <v>0</v>
      </c>
      <c r="H23" s="359"/>
      <c r="I23" s="358"/>
      <c r="J23" s="90">
        <f>IF(AND(G23&lt;10, H21&lt;10), 'SEMESTRE N°1'!J36, IF(AND(G23&gt;=10, H21&gt;=10), G23, IF(AND(G23&gt;=10, H21&lt;10), G23, IF(AND(G23&lt;10, H21&gt;=10), G23, ""))))</f>
        <v>12</v>
      </c>
      <c r="K23" s="280"/>
      <c r="L23" s="238"/>
      <c r="M23" s="253"/>
    </row>
    <row r="24" spans="2:13" ht="15.6">
      <c r="B24" s="234"/>
      <c r="C24" s="423" t="s">
        <v>63</v>
      </c>
      <c r="D24" s="425" t="s">
        <v>64</v>
      </c>
      <c r="E24" s="136" t="s">
        <v>65</v>
      </c>
      <c r="F24" s="9">
        <v>4</v>
      </c>
      <c r="G24" s="108">
        <f>[1]BULL_N26!G24</f>
        <v>0</v>
      </c>
      <c r="H24" s="358">
        <f>IF(AND(G24&gt;=7, G25&gt;=7), ROUND(((F24*G24) + (F25*G25)) / (F24 + F25), 2), 0)</f>
        <v>0</v>
      </c>
      <c r="I24" s="358">
        <f>IF(H24&gt;9.99,(F24+F25),0)</f>
        <v>0</v>
      </c>
      <c r="J24" s="90">
        <f>IF(AND(G24&lt;10, H24&lt;10), 'SEMESTRE N°1'!V36, IF(AND(G24&gt;=10, H24&gt;=10), G24, IF(AND(G24&gt;=10, H24&lt;10), G24, IF(AND(G24&lt;10, H24&gt;=10), G24, ""))))</f>
        <v>15</v>
      </c>
      <c r="K24" s="286">
        <f>IF(AND(J24&gt;=7, J25&gt;=7), ROUND(((F24*J24) + (F25*J25)) / (F24 + F25), 2), 0)</f>
        <v>12.5</v>
      </c>
      <c r="L24" s="286">
        <f>IF(K24&gt;9.99,(F24+F25),0)</f>
        <v>8</v>
      </c>
      <c r="M24" s="254" t="str">
        <f>IF(K24&gt;9.99,"Validé","Non validé")</f>
        <v>Validé</v>
      </c>
    </row>
    <row r="25" spans="2:13" ht="15.6">
      <c r="B25" s="234"/>
      <c r="C25" s="423"/>
      <c r="D25" s="269"/>
      <c r="E25" s="136" t="s">
        <v>66</v>
      </c>
      <c r="F25" s="9">
        <v>4</v>
      </c>
      <c r="G25" s="108">
        <f>[1]BULL_N26!G25</f>
        <v>5.2</v>
      </c>
      <c r="H25" s="359"/>
      <c r="I25" s="358"/>
      <c r="J25" s="90">
        <f>IF(AND(G25&lt;10, H24&lt;10), 'SEMESTRE N°1'!Y36, IF(AND(G25&gt;=10, H24&gt;=10), G25, IF(AND(G25&gt;=10, H24&lt;10), G25, IF(AND(G25&lt;10, H24&gt;=10), G25, ""))))</f>
        <v>10</v>
      </c>
      <c r="K25" s="287"/>
      <c r="L25" s="287"/>
      <c r="M25" s="255"/>
    </row>
    <row r="26" spans="2:13" ht="17.399999999999999" customHeight="1">
      <c r="B26" s="234"/>
      <c r="C26" s="423" t="s">
        <v>67</v>
      </c>
      <c r="D26" s="355" t="s">
        <v>68</v>
      </c>
      <c r="E26" s="136" t="s">
        <v>69</v>
      </c>
      <c r="F26" s="9">
        <v>2</v>
      </c>
      <c r="G26" s="108">
        <f>[1]BULL_N26!G26</f>
        <v>0</v>
      </c>
      <c r="H26" s="358">
        <f>IF(AND(G26&gt;=7, G27&gt;=7), ROUND(((F26*G26) + (F27*G27)) / (F26 + F27), 2), 0)</f>
        <v>0</v>
      </c>
      <c r="I26" s="358">
        <f>IF(H26&gt;9.99,(F26+F27),0)</f>
        <v>0</v>
      </c>
      <c r="J26" s="90">
        <f>IF(AND(G26&lt;10, H26&lt;10), 'SEMESTRE N°1'!AB36, IF(AND(G26&gt;=10, H26&gt;=10), G26, IF(AND(G26&gt;=10, H26&lt;10), G26, IF(AND(G26&lt;10, H26&gt;=10), G26, ""))))</f>
        <v>0</v>
      </c>
      <c r="K26" s="286">
        <f>IF(AND(J26&gt;=7, J27&gt;=7), ROUND(((F26*J26) + (F27*J27)) / (F26 + F27), 2), 0)</f>
        <v>0</v>
      </c>
      <c r="L26" s="286">
        <f>IF(K26&gt;9.99,(F26+F27),0)</f>
        <v>0</v>
      </c>
      <c r="M26" s="254" t="str">
        <f>IF(K26&gt;9.99,"Validé","Non validé")</f>
        <v>Non validé</v>
      </c>
    </row>
    <row r="27" spans="2:13" ht="15.6">
      <c r="B27" s="234"/>
      <c r="C27" s="423"/>
      <c r="D27" s="356"/>
      <c r="E27" s="136" t="s">
        <v>70</v>
      </c>
      <c r="F27" s="9">
        <v>3</v>
      </c>
      <c r="G27" s="108">
        <f>[1]BULL_N26!G27</f>
        <v>0.4</v>
      </c>
      <c r="H27" s="359"/>
      <c r="I27" s="358"/>
      <c r="J27" s="93">
        <f>IF(AND(G27&lt;10, H26&lt;10), 'SEMESTRE N°1'!AE36, IF(AND(G27&gt;=10, H26&gt;=10), G27, IF(AND(G27&gt;=10, H26&lt;10), G27, IF(AND(G27&lt;10, H26&gt;=10), G27, ""))))</f>
        <v>0</v>
      </c>
      <c r="K27" s="287"/>
      <c r="L27" s="235"/>
      <c r="M27" s="255"/>
    </row>
    <row r="28" spans="2:13">
      <c r="B28" s="234"/>
      <c r="C28" s="284" t="s">
        <v>71</v>
      </c>
      <c r="D28" s="285"/>
      <c r="E28" s="284"/>
      <c r="F28" s="19">
        <f>F19+F20+F21+F22+F23+F24+F25+F26+F27</f>
        <v>30</v>
      </c>
      <c r="G28" s="109"/>
      <c r="H28" s="117" t="e">
        <f>ROUND((H19+H21+H24+H26)/4,2)</f>
        <v>#VALUE!</v>
      </c>
      <c r="I28" s="110">
        <f>I26+I24+I21+I19</f>
        <v>6</v>
      </c>
      <c r="J28" s="91"/>
      <c r="K28" s="111">
        <f>ROUND((K19+K21+K24+K26)/4,2)</f>
        <v>3.13</v>
      </c>
      <c r="L28" s="107">
        <f>SUM(L19:L27)</f>
        <v>8</v>
      </c>
      <c r="M28" s="88"/>
    </row>
    <row r="29" spans="2:13" ht="17.100000000000001" customHeight="1">
      <c r="C29" s="11"/>
      <c r="G29" s="11"/>
    </row>
    <row r="30" spans="2:13" ht="17.100000000000001" customHeight="1">
      <c r="B30" s="264" t="s">
        <v>72</v>
      </c>
      <c r="C30" s="265"/>
      <c r="D30" s="21">
        <f>I19+I21+I24+I26</f>
        <v>6</v>
      </c>
      <c r="E30" s="12"/>
      <c r="F30" s="13"/>
      <c r="G30" s="14"/>
      <c r="H30" s="15"/>
      <c r="I30" s="15"/>
      <c r="K30" s="39" t="s">
        <v>73</v>
      </c>
      <c r="L30" s="39"/>
      <c r="M30" s="36"/>
    </row>
    <row r="31" spans="2:13" ht="17.100000000000001" customHeight="1">
      <c r="B31" s="266" t="s">
        <v>74</v>
      </c>
      <c r="C31" s="267"/>
      <c r="D31" s="22" t="str">
        <f>IF(D30=F28,"Semestre validé","Semestre non validé")</f>
        <v>Semestre non validé</v>
      </c>
      <c r="E31" s="13"/>
      <c r="F31" s="13"/>
      <c r="G31" s="16"/>
      <c r="L31" s="13"/>
    </row>
    <row r="32" spans="2:13" ht="17.100000000000001" customHeight="1">
      <c r="B32" s="266" t="s">
        <v>75</v>
      </c>
      <c r="C32" s="267"/>
      <c r="D32" s="1">
        <v>0</v>
      </c>
      <c r="E32" s="13"/>
      <c r="F32" s="13"/>
      <c r="G32" s="16"/>
      <c r="H32" s="13"/>
      <c r="I32" s="13"/>
      <c r="J32" s="13"/>
    </row>
    <row r="33" spans="2:13" ht="17.100000000000001" customHeight="1">
      <c r="B33" s="59"/>
      <c r="C33" s="59"/>
      <c r="D33" s="1"/>
      <c r="E33" s="13"/>
      <c r="F33" s="13"/>
      <c r="G33" s="16"/>
      <c r="H33" s="13"/>
      <c r="I33" s="13"/>
      <c r="J33" s="13"/>
    </row>
    <row r="34" spans="2:13" ht="17.100000000000001" customHeight="1">
      <c r="B34" s="59"/>
      <c r="C34" s="59"/>
      <c r="D34" s="1"/>
      <c r="E34" s="13"/>
      <c r="F34" s="13"/>
      <c r="G34" s="16"/>
      <c r="H34" s="13"/>
      <c r="I34" s="13"/>
      <c r="J34" s="13"/>
    </row>
    <row r="35" spans="2:13" ht="17.100000000000001" customHeight="1">
      <c r="C35" s="11"/>
      <c r="G35" s="275" t="s">
        <v>76</v>
      </c>
      <c r="H35" s="275"/>
      <c r="I35" s="275"/>
      <c r="J35" s="275"/>
      <c r="K35" s="275"/>
      <c r="L35" s="275"/>
      <c r="M35" s="275"/>
    </row>
    <row r="36" spans="2:13" ht="17.100000000000001" customHeight="1">
      <c r="B36" s="373" t="s">
        <v>77</v>
      </c>
      <c r="C36" s="373"/>
      <c r="D36" s="373"/>
      <c r="E36" s="373"/>
      <c r="F36" s="373"/>
      <c r="G36" s="373"/>
      <c r="H36" s="373"/>
      <c r="I36" s="373"/>
      <c r="J36" s="373"/>
      <c r="K36" s="373"/>
      <c r="L36" s="373"/>
      <c r="M36" s="373"/>
    </row>
    <row r="37" spans="2:13" ht="17.100000000000001" customHeight="1">
      <c r="B37" s="373"/>
      <c r="C37" s="373"/>
      <c r="D37" s="373"/>
      <c r="E37" s="373"/>
      <c r="F37" s="373"/>
      <c r="G37" s="373"/>
      <c r="H37" s="373"/>
      <c r="I37" s="373"/>
      <c r="J37" s="373"/>
      <c r="K37" s="373"/>
      <c r="L37" s="373"/>
      <c r="M37" s="373"/>
    </row>
    <row r="38" spans="2:13" hidden="1">
      <c r="B38" s="18" t="s">
        <v>78</v>
      </c>
    </row>
  </sheetData>
  <mergeCells count="57">
    <mergeCell ref="C28:E28"/>
    <mergeCell ref="B30:C30"/>
    <mergeCell ref="B31:C31"/>
    <mergeCell ref="B32:C32"/>
    <mergeCell ref="L26:L27"/>
    <mergeCell ref="C26:C27"/>
    <mergeCell ref="D26:D27"/>
    <mergeCell ref="H26:H27"/>
    <mergeCell ref="I26:I27"/>
    <mergeCell ref="K26:K27"/>
    <mergeCell ref="L24:L25"/>
    <mergeCell ref="C24:C25"/>
    <mergeCell ref="D24:D25"/>
    <mergeCell ref="H24:H25"/>
    <mergeCell ref="I24:I25"/>
    <mergeCell ref="K24:K25"/>
    <mergeCell ref="D19:D20"/>
    <mergeCell ref="H19:H20"/>
    <mergeCell ref="I19:I20"/>
    <mergeCell ref="K19:K20"/>
    <mergeCell ref="C21:C23"/>
    <mergeCell ref="D21:D23"/>
    <mergeCell ref="H21:H23"/>
    <mergeCell ref="I21:I23"/>
    <mergeCell ref="K21:K23"/>
    <mergeCell ref="E5:M8"/>
    <mergeCell ref="G35:M35"/>
    <mergeCell ref="C11:E11"/>
    <mergeCell ref="G11:L11"/>
    <mergeCell ref="B12:C12"/>
    <mergeCell ref="D12:E12"/>
    <mergeCell ref="G12:L12"/>
    <mergeCell ref="C13:E13"/>
    <mergeCell ref="G13:L13"/>
    <mergeCell ref="C14:E14"/>
    <mergeCell ref="G14:L14"/>
    <mergeCell ref="B15:D16"/>
    <mergeCell ref="E15:F16"/>
    <mergeCell ref="G16:I16"/>
    <mergeCell ref="B17:B28"/>
    <mergeCell ref="C17:D18"/>
    <mergeCell ref="M24:M25"/>
    <mergeCell ref="M26:M27"/>
    <mergeCell ref="G15:M15"/>
    <mergeCell ref="B9:M9"/>
    <mergeCell ref="B36:M37"/>
    <mergeCell ref="J16:L16"/>
    <mergeCell ref="M16:M18"/>
    <mergeCell ref="K17:L17"/>
    <mergeCell ref="M19:M20"/>
    <mergeCell ref="M21:M23"/>
    <mergeCell ref="E17:E18"/>
    <mergeCell ref="F17:F18"/>
    <mergeCell ref="H17:I17"/>
    <mergeCell ref="L19:L20"/>
    <mergeCell ref="L21:L23"/>
    <mergeCell ref="C19:C20"/>
  </mergeCells>
  <pageMargins left="0" right="0" top="0" bottom="0" header="0" footer="0"/>
  <pageSetup paperSize="9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1E742-79FA-45B8-B633-53AA4A6AF2D7}">
  <sheetPr codeName="Feuil29">
    <tabColor rgb="FF7030A0"/>
  </sheetPr>
  <dimension ref="B5:M38"/>
  <sheetViews>
    <sheetView showGridLines="0" view="pageLayout" topLeftCell="A14" zoomScaleNormal="100" workbookViewId="0">
      <selection activeCell="I28" sqref="I28"/>
    </sheetView>
  </sheetViews>
  <sheetFormatPr baseColWidth="10" defaultColWidth="10.88671875" defaultRowHeight="14.4"/>
  <cols>
    <col min="1" max="1" width="4.6640625" style="5" customWidth="1"/>
    <col min="2" max="2" width="10.88671875" style="5"/>
    <col min="3" max="3" width="10.33203125" style="5" customWidth="1"/>
    <col min="4" max="4" width="15.5546875" style="5" customWidth="1"/>
    <col min="5" max="5" width="30.6640625" style="5" customWidth="1"/>
    <col min="6" max="6" width="10.6640625" style="5" customWidth="1"/>
    <col min="7" max="7" width="7.6640625" style="5" customWidth="1"/>
    <col min="8" max="8" width="7.109375" style="5" customWidth="1"/>
    <col min="9" max="9" width="7.5546875" style="5" customWidth="1"/>
    <col min="10" max="12" width="7.33203125" style="5" customWidth="1"/>
    <col min="13" max="13" width="10.33203125" style="5" customWidth="1"/>
    <col min="14" max="16384" width="10.88671875" style="5"/>
  </cols>
  <sheetData>
    <row r="5" spans="2:13">
      <c r="E5" s="288" t="s">
        <v>162</v>
      </c>
      <c r="F5" s="229"/>
      <c r="G5" s="229"/>
      <c r="H5" s="229"/>
      <c r="I5" s="229"/>
      <c r="J5" s="229"/>
      <c r="K5" s="229"/>
      <c r="L5" s="229"/>
      <c r="M5" s="229"/>
    </row>
    <row r="6" spans="2:13">
      <c r="E6" s="229"/>
      <c r="F6" s="229"/>
      <c r="G6" s="229"/>
      <c r="H6" s="229"/>
      <c r="I6" s="229"/>
      <c r="J6" s="229"/>
      <c r="K6" s="229"/>
      <c r="L6" s="229"/>
      <c r="M6" s="229"/>
    </row>
    <row r="7" spans="2:13">
      <c r="E7" s="229"/>
      <c r="F7" s="229"/>
      <c r="G7" s="229"/>
      <c r="H7" s="229"/>
      <c r="I7" s="229"/>
      <c r="J7" s="229"/>
      <c r="K7" s="229"/>
      <c r="L7" s="229"/>
      <c r="M7" s="229"/>
    </row>
    <row r="8" spans="2:13">
      <c r="E8" s="230"/>
      <c r="F8" s="230"/>
      <c r="G8" s="230"/>
      <c r="H8" s="230"/>
      <c r="I8" s="230"/>
      <c r="J8" s="230"/>
      <c r="K8" s="230"/>
      <c r="L8" s="230"/>
      <c r="M8" s="230"/>
    </row>
    <row r="9" spans="2:13" ht="18" customHeight="1">
      <c r="B9" s="316" t="s">
        <v>35</v>
      </c>
      <c r="C9" s="317"/>
      <c r="D9" s="317"/>
      <c r="E9" s="317"/>
      <c r="F9" s="317"/>
      <c r="G9" s="317"/>
      <c r="H9" s="317"/>
      <c r="I9" s="317"/>
      <c r="J9" s="317"/>
      <c r="K9" s="317"/>
      <c r="L9" s="317"/>
      <c r="M9" s="318"/>
    </row>
    <row r="10" spans="2:13" ht="13.5" customHeight="1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2:13" ht="17.100000000000001" customHeight="1">
      <c r="B11" s="6" t="s">
        <v>36</v>
      </c>
      <c r="C11" s="291" t="str">
        <f>'SEMESTRE N°1'!A36</f>
        <v>PROVIDENCE MADJOUKA SOH</v>
      </c>
      <c r="D11" s="292"/>
      <c r="E11" s="292"/>
      <c r="F11" s="6" t="s">
        <v>37</v>
      </c>
      <c r="G11" s="297" t="str">
        <f>B38</f>
        <v>Licence Pro. Informatique-1ère année Tronc commun</v>
      </c>
      <c r="H11" s="297"/>
      <c r="I11" s="297"/>
      <c r="J11" s="297"/>
      <c r="K11" s="297"/>
      <c r="L11" s="297"/>
    </row>
    <row r="12" spans="2:13" ht="17.100000000000001" customHeight="1">
      <c r="B12" s="246" t="s">
        <v>38</v>
      </c>
      <c r="C12" s="246"/>
      <c r="D12" s="305" t="str">
        <f>'SEMESTRE N°1'!B36</f>
        <v>07/10/2006</v>
      </c>
      <c r="E12" s="294"/>
      <c r="F12" s="6" t="s">
        <v>29</v>
      </c>
      <c r="G12" s="294" t="str">
        <f>'SEMESTRE N°1'!E37</f>
        <v>TC-1</v>
      </c>
      <c r="H12" s="294"/>
      <c r="I12" s="294"/>
      <c r="J12" s="294"/>
      <c r="K12" s="294"/>
      <c r="L12" s="294"/>
    </row>
    <row r="13" spans="2:13" ht="17.100000000000001" customHeight="1">
      <c r="B13" s="6" t="s">
        <v>39</v>
      </c>
      <c r="C13" s="291" t="str">
        <f>'SEMESTRE N°1'!C36</f>
        <v>Camerounaise</v>
      </c>
      <c r="D13" s="292"/>
      <c r="E13" s="292"/>
      <c r="F13" s="6" t="s">
        <v>40</v>
      </c>
      <c r="G13" s="249"/>
      <c r="H13" s="249"/>
      <c r="I13" s="249"/>
      <c r="J13" s="249"/>
      <c r="K13" s="249"/>
      <c r="L13" s="249"/>
    </row>
    <row r="14" spans="2:13" s="475" customFormat="1" ht="17.100000000000001" customHeight="1">
      <c r="B14" s="6" t="s">
        <v>41</v>
      </c>
      <c r="C14" s="296" t="str">
        <f>'SEMESTRE N°1'!D36</f>
        <v>172024</v>
      </c>
      <c r="D14" s="297"/>
      <c r="E14" s="297"/>
      <c r="F14" s="6" t="s">
        <v>42</v>
      </c>
      <c r="G14" s="474"/>
      <c r="H14" s="474"/>
      <c r="I14" s="474"/>
      <c r="J14" s="474"/>
      <c r="K14" s="474"/>
      <c r="L14" s="474"/>
    </row>
    <row r="15" spans="2:13">
      <c r="B15" s="281" t="s">
        <v>43</v>
      </c>
      <c r="C15" s="281"/>
      <c r="D15" s="281"/>
      <c r="E15" s="282" t="s">
        <v>17</v>
      </c>
      <c r="F15" s="283"/>
      <c r="G15" s="342" t="s">
        <v>44</v>
      </c>
      <c r="H15" s="343"/>
      <c r="I15" s="343"/>
      <c r="J15" s="343"/>
      <c r="K15" s="343"/>
      <c r="L15" s="343"/>
      <c r="M15" s="344"/>
    </row>
    <row r="16" spans="2:13">
      <c r="B16" s="281"/>
      <c r="C16" s="281"/>
      <c r="D16" s="281"/>
      <c r="E16" s="282"/>
      <c r="F16" s="283"/>
      <c r="G16" s="240" t="s">
        <v>83</v>
      </c>
      <c r="H16" s="240"/>
      <c r="I16" s="240"/>
      <c r="J16" s="256" t="s">
        <v>46</v>
      </c>
      <c r="K16" s="257"/>
      <c r="L16" s="338"/>
      <c r="M16" s="427" t="s">
        <v>47</v>
      </c>
    </row>
    <row r="17" spans="2:13">
      <c r="B17" s="233" t="s">
        <v>48</v>
      </c>
      <c r="C17" s="273" t="s">
        <v>49</v>
      </c>
      <c r="D17" s="273"/>
      <c r="E17" s="272" t="s">
        <v>49</v>
      </c>
      <c r="F17" s="272" t="s">
        <v>50</v>
      </c>
      <c r="G17" s="2" t="s">
        <v>51</v>
      </c>
      <c r="H17" s="272" t="s">
        <v>52</v>
      </c>
      <c r="I17" s="272"/>
      <c r="J17" s="87" t="s">
        <v>51</v>
      </c>
      <c r="K17" s="262" t="s">
        <v>52</v>
      </c>
      <c r="L17" s="337"/>
      <c r="M17" s="428"/>
    </row>
    <row r="18" spans="2:13">
      <c r="B18" s="234"/>
      <c r="C18" s="272"/>
      <c r="D18" s="274"/>
      <c r="E18" s="272"/>
      <c r="F18" s="272"/>
      <c r="G18" s="60" t="s">
        <v>53</v>
      </c>
      <c r="H18" s="60" t="s">
        <v>53</v>
      </c>
      <c r="I18" s="60" t="s">
        <v>50</v>
      </c>
      <c r="J18" s="87" t="s">
        <v>53</v>
      </c>
      <c r="K18" s="87" t="s">
        <v>53</v>
      </c>
      <c r="L18" s="87" t="s">
        <v>50</v>
      </c>
      <c r="M18" s="429"/>
    </row>
    <row r="19" spans="2:13" ht="15.6">
      <c r="B19" s="234"/>
      <c r="C19" s="243" t="s">
        <v>54</v>
      </c>
      <c r="D19" s="268" t="s">
        <v>55</v>
      </c>
      <c r="E19" s="136" t="s">
        <v>56</v>
      </c>
      <c r="F19" s="9">
        <v>3</v>
      </c>
      <c r="G19" s="108">
        <f>[1]BULL_N27!G19</f>
        <v>7.2000000000000011</v>
      </c>
      <c r="H19" s="358">
        <f>IF(AND(G19&gt;=7, G20&gt;=7), ROUND(((F19*G19) + (F20*G20)) / (F19 + F20), 2), 0)</f>
        <v>0</v>
      </c>
      <c r="I19" s="358">
        <f>IF(H19&gt;9.99,(F19+F20),0)</f>
        <v>0</v>
      </c>
      <c r="J19" s="90">
        <f>IF(AND(G19&lt;10, H19&lt;10), 'SEMESTRE N°1'!G36, IF(AND(G19&gt;=10, H19&gt;=10), G19, IF(AND(G19&gt;=10, H19&lt;10), G19, IF(AND(G19&lt;10, H19&gt;=10), G19, ""))))</f>
        <v>10</v>
      </c>
      <c r="K19" s="235">
        <f>IF(AND(J19&gt;=7, J20&gt;=7), ROUND(((F19*J19) + (F20*J20)) / (F19 + F20), 2), 0)</f>
        <v>11</v>
      </c>
      <c r="L19" s="235">
        <f>IF(K19&gt;9.99,(F19+F20),0)</f>
        <v>6</v>
      </c>
      <c r="M19" s="426" t="str">
        <f>IF(K19&gt;9.99,"Validé","Non validé")</f>
        <v>Validé</v>
      </c>
    </row>
    <row r="20" spans="2:13" ht="15.6">
      <c r="B20" s="234"/>
      <c r="C20" s="243"/>
      <c r="D20" s="269"/>
      <c r="E20" s="136" t="s">
        <v>57</v>
      </c>
      <c r="F20" s="9">
        <v>3</v>
      </c>
      <c r="G20" s="108">
        <f>[1]BULL_N27!G20</f>
        <v>5.6</v>
      </c>
      <c r="H20" s="359"/>
      <c r="I20" s="358"/>
      <c r="J20" s="90">
        <f>IF(AND(G20&lt;10, H19&lt;10), 'SEMESTRE N°1'!J36, IF(AND(G20&gt;=10, H19&gt;=10), G20, IF(AND(G20&gt;=10, H19&lt;10), G20, IF(AND(G20&lt;10, H19&gt;=10), G20, ""))))</f>
        <v>12</v>
      </c>
      <c r="K20" s="235"/>
      <c r="L20" s="235"/>
      <c r="M20" s="426"/>
    </row>
    <row r="21" spans="2:13" ht="15.6">
      <c r="B21" s="234"/>
      <c r="C21" s="243" t="s">
        <v>58</v>
      </c>
      <c r="D21" s="268" t="s">
        <v>59</v>
      </c>
      <c r="E21" s="136" t="s">
        <v>169</v>
      </c>
      <c r="F21" s="9">
        <v>5</v>
      </c>
      <c r="G21" s="108">
        <f>[1]BULL_N27!G21</f>
        <v>10.4</v>
      </c>
      <c r="H21" s="358">
        <f>IF(AND(G21&gt;=7, G22&gt;=7, G23&gt;=7), ROUND(((F21*G21) + (F22*G22)+ (F23*G23)) / (F21 + F22+F23), 2), 0)</f>
        <v>0</v>
      </c>
      <c r="I21" s="358">
        <f>IF(H21&gt;9.99,(F21+F22+F23),0)</f>
        <v>0</v>
      </c>
      <c r="J21" s="93">
        <f>IF(AND(G21&lt;10, H21&lt;10), 'SEMESTRE N°1'!M36, IF(AND(G21&gt;=10, H21&gt;=10), G21, IF(AND(G21&gt;=10, H21&lt;10), G21, IF(AND(G21&lt;10, H21&gt;=10), G21, ""))))</f>
        <v>10.4</v>
      </c>
      <c r="K21" s="280">
        <f>IF(AND(J21&gt;=7, J22&gt;=7, J23&gt;=7), ROUND(((F21*J21) + (F22*J22)+ (F23*J23)) / (F21 + F22+F23), 2), 0)</f>
        <v>0</v>
      </c>
      <c r="L21" s="236">
        <f>IF(K21&gt;9.99,(F21+F22+F23),0)</f>
        <v>0</v>
      </c>
      <c r="M21" s="426" t="str">
        <f>IF(K21&gt;9.99,"Validé","Non validé")</f>
        <v>Non validé</v>
      </c>
    </row>
    <row r="22" spans="2:13" ht="15.6">
      <c r="B22" s="234"/>
      <c r="C22" s="243"/>
      <c r="D22" s="279"/>
      <c r="E22" s="136" t="s">
        <v>61</v>
      </c>
      <c r="F22" s="9">
        <v>3</v>
      </c>
      <c r="G22" s="108">
        <f>[1]BULL_N27!G22</f>
        <v>8.8699999999999992</v>
      </c>
      <c r="H22" s="359"/>
      <c r="I22" s="358"/>
      <c r="J22" s="90">
        <f>IF(AND(G22&lt;10, H21&lt;10), 'SEMESTRE N°1'!P36, IF(AND(G22&gt;=10, H21&gt;=10), G22, IF(AND(G22&gt;=10, H21&lt;10), G22, IF(AND(G22&lt;10, H21&gt;=10), G22, ""))))</f>
        <v>10</v>
      </c>
      <c r="K22" s="280"/>
      <c r="L22" s="237"/>
      <c r="M22" s="426"/>
    </row>
    <row r="23" spans="2:13" ht="15.6">
      <c r="B23" s="234"/>
      <c r="C23" s="243"/>
      <c r="D23" s="269"/>
      <c r="E23" s="136" t="s">
        <v>62</v>
      </c>
      <c r="F23" s="9">
        <v>3</v>
      </c>
      <c r="G23" s="108">
        <f>[1]BULL_N27!G23</f>
        <v>5.5500000000000007</v>
      </c>
      <c r="H23" s="359"/>
      <c r="I23" s="358"/>
      <c r="J23" s="90">
        <f>G23</f>
        <v>5.5500000000000007</v>
      </c>
      <c r="K23" s="280"/>
      <c r="L23" s="238"/>
      <c r="M23" s="426"/>
    </row>
    <row r="24" spans="2:13" ht="15.6">
      <c r="B24" s="234"/>
      <c r="C24" s="243" t="s">
        <v>63</v>
      </c>
      <c r="D24" s="268" t="s">
        <v>64</v>
      </c>
      <c r="E24" s="136" t="s">
        <v>65</v>
      </c>
      <c r="F24" s="9">
        <v>4</v>
      </c>
      <c r="G24" s="108">
        <f>[1]BULL_N27!G24</f>
        <v>7.6</v>
      </c>
      <c r="H24" s="358">
        <f>IF(AND(G24&gt;=7, G25&gt;=7), ROUND(((F24*G24) + (F25*G25)) / (F24 + F25), 2), 0)</f>
        <v>8.58</v>
      </c>
      <c r="I24" s="358">
        <f>IF(H24&gt;9.99,(F24+F25),0)</f>
        <v>0</v>
      </c>
      <c r="J24" s="90">
        <f>IF(AND(G24&lt;10, H24&lt;10), 'SEMESTRE N°1'!V36, IF(AND(G24&gt;=10, H24&gt;=10), G24, IF(AND(G24&gt;=10, H24&lt;10), G24, IF(AND(G24&lt;10, H24&gt;=10), G24, ""))))</f>
        <v>15</v>
      </c>
      <c r="K24" s="286">
        <f>IF(AND(J24&gt;=7, J25&gt;=7), ROUND(((F24*J24) + (F25*J25)) / (F24 + F25), 2), 0)</f>
        <v>12.5</v>
      </c>
      <c r="L24" s="286">
        <f>IF(K24&gt;9.99,(F24+F25),0)</f>
        <v>8</v>
      </c>
      <c r="M24" s="426" t="str">
        <f>IF(K24&gt;9.99,"Validé","Non validé")</f>
        <v>Validé</v>
      </c>
    </row>
    <row r="25" spans="2:13" ht="15.6">
      <c r="B25" s="234"/>
      <c r="C25" s="243"/>
      <c r="D25" s="269"/>
      <c r="E25" s="136" t="s">
        <v>66</v>
      </c>
      <c r="F25" s="9">
        <v>4</v>
      </c>
      <c r="G25" s="108">
        <f>[1]BULL_N27!G25</f>
        <v>9.5640000000000001</v>
      </c>
      <c r="H25" s="359"/>
      <c r="I25" s="358"/>
      <c r="J25" s="90">
        <f>IF(AND(G25&lt;10, H24&lt;10), 'SEMESTRE N°1'!Y36, IF(AND(G25&gt;=10, H24&gt;=10), G25, IF(AND(G25&gt;=10, H24&lt;10), G25, IF(AND(G25&lt;10, H24&gt;=10), G25, ""))))</f>
        <v>10</v>
      </c>
      <c r="K25" s="287"/>
      <c r="L25" s="287"/>
      <c r="M25" s="426"/>
    </row>
    <row r="26" spans="2:13" ht="17.399999999999999" customHeight="1">
      <c r="B26" s="234"/>
      <c r="C26" s="243" t="s">
        <v>67</v>
      </c>
      <c r="D26" s="355" t="s">
        <v>68</v>
      </c>
      <c r="E26" s="136" t="s">
        <v>69</v>
      </c>
      <c r="F26" s="9">
        <v>2</v>
      </c>
      <c r="G26" s="108">
        <f>[1]BULL_N27!G26</f>
        <v>12.600000000000001</v>
      </c>
      <c r="H26" s="358">
        <f>IF(AND(G26&gt;=7, G27&gt;=7), ROUND(((F26*G26) + (F27*G27)) / (F26 + F27), 2), 0)</f>
        <v>16.23</v>
      </c>
      <c r="I26" s="358">
        <f>IF(H26&gt;9.99,(F26+F27),0)</f>
        <v>5</v>
      </c>
      <c r="J26" s="93">
        <f>IF(AND(G26&lt;10, H26&lt;10), 'SEMESTRE N°1'!AB36, IF(AND(G26&gt;=10, H26&gt;=10), G26, IF(AND(G26&gt;=10, H26&lt;10), G26, IF(AND(G26&lt;10, H26&gt;=10), G26, ""))))</f>
        <v>12.600000000000001</v>
      </c>
      <c r="K26" s="231">
        <f>IF(AND(J26&gt;=7, J27&gt;=7), ROUND(((F26*J26) + (F27*J27)) / (F26 + F27), 2), 0)</f>
        <v>16.23</v>
      </c>
      <c r="L26" s="231">
        <f>IF(K26&gt;9.99,(F26+F27),0)</f>
        <v>5</v>
      </c>
      <c r="M26" s="426" t="str">
        <f>IF(K26&gt;9.99,"Validé","Non validé")</f>
        <v>Validé</v>
      </c>
    </row>
    <row r="27" spans="2:13" ht="17.25" customHeight="1">
      <c r="B27" s="234"/>
      <c r="C27" s="243"/>
      <c r="D27" s="356"/>
      <c r="E27" s="136" t="s">
        <v>70</v>
      </c>
      <c r="F27" s="9">
        <v>3</v>
      </c>
      <c r="G27" s="108">
        <f>[1]BULL_N27!G27</f>
        <v>18.648</v>
      </c>
      <c r="H27" s="359"/>
      <c r="I27" s="358"/>
      <c r="J27" s="93">
        <f>IF(AND(G27&lt;10, H26&lt;10), 'SEMESTRE N°1'!AE36, IF(AND(G27&gt;=10, H26&gt;=10), G27, IF(AND(G27&gt;=10, H26&lt;10), G27, IF(AND(G27&lt;10, H26&gt;=10), G27, ""))))</f>
        <v>18.648</v>
      </c>
      <c r="K27" s="299"/>
      <c r="L27" s="232"/>
      <c r="M27" s="426"/>
    </row>
    <row r="28" spans="2:13" ht="17.25" customHeight="1">
      <c r="B28" s="234"/>
      <c r="C28" s="284" t="s">
        <v>71</v>
      </c>
      <c r="D28" s="285"/>
      <c r="E28" s="284"/>
      <c r="F28" s="19">
        <f>F19+F20+F21+F22+F23+F24+F25+F26+F27</f>
        <v>30</v>
      </c>
      <c r="G28" s="3"/>
      <c r="H28" s="117">
        <f>ROUND((H19+H21+H24+H26)/4,2)</f>
        <v>6.2</v>
      </c>
      <c r="I28" s="476">
        <f>I26+I24+I21+I19</f>
        <v>5</v>
      </c>
      <c r="J28" s="91"/>
      <c r="K28" s="111">
        <f>ROUND((K19+K21+K24+K26)/4,2)</f>
        <v>9.93</v>
      </c>
      <c r="L28" s="107">
        <f>SUM(L19:L27)</f>
        <v>19</v>
      </c>
      <c r="M28" s="137"/>
    </row>
    <row r="29" spans="2:13" ht="17.100000000000001" customHeight="1">
      <c r="C29" s="11"/>
      <c r="G29" s="11"/>
    </row>
    <row r="30" spans="2:13" ht="17.100000000000001" customHeight="1">
      <c r="B30" s="264" t="s">
        <v>72</v>
      </c>
      <c r="C30" s="265"/>
      <c r="D30" s="21">
        <f>L28</f>
        <v>19</v>
      </c>
      <c r="E30" s="12"/>
      <c r="F30" s="13"/>
      <c r="G30" s="14"/>
      <c r="H30" s="15"/>
      <c r="I30" s="15"/>
      <c r="K30" s="39" t="s">
        <v>73</v>
      </c>
      <c r="L30" s="39"/>
      <c r="M30" s="36"/>
    </row>
    <row r="31" spans="2:13" ht="17.100000000000001" customHeight="1">
      <c r="B31" s="266" t="s">
        <v>74</v>
      </c>
      <c r="C31" s="267"/>
      <c r="D31" s="22" t="str">
        <f>IF(D30=F28,"Semestre validé","Semestre non validé")</f>
        <v>Semestre non validé</v>
      </c>
      <c r="E31" s="13"/>
      <c r="F31" s="13"/>
      <c r="G31" s="16"/>
      <c r="L31" s="13"/>
    </row>
    <row r="32" spans="2:13" ht="17.100000000000001" customHeight="1">
      <c r="B32" s="266" t="s">
        <v>75</v>
      </c>
      <c r="C32" s="267"/>
      <c r="D32" s="1">
        <v>0</v>
      </c>
      <c r="E32" s="13"/>
      <c r="F32" s="13"/>
      <c r="G32" s="16"/>
      <c r="H32" s="13"/>
      <c r="I32" s="13"/>
      <c r="J32" s="13"/>
    </row>
    <row r="33" spans="2:13" ht="17.100000000000001" customHeight="1">
      <c r="B33" s="59"/>
      <c r="C33" s="59"/>
      <c r="D33" s="1"/>
      <c r="E33" s="13"/>
      <c r="F33" s="13"/>
      <c r="G33" s="16"/>
      <c r="H33" s="13"/>
      <c r="I33" s="13"/>
      <c r="J33" s="13"/>
    </row>
    <row r="34" spans="2:13" ht="17.100000000000001" customHeight="1">
      <c r="C34" s="16"/>
      <c r="D34" s="13"/>
      <c r="E34" s="13"/>
      <c r="F34" s="13"/>
      <c r="G34" s="275" t="s">
        <v>76</v>
      </c>
      <c r="H34" s="275"/>
      <c r="I34" s="275"/>
      <c r="J34" s="275"/>
      <c r="K34" s="275"/>
      <c r="L34" s="275"/>
      <c r="M34" s="275"/>
    </row>
    <row r="35" spans="2:13" ht="17.100000000000001" customHeight="1">
      <c r="B35" s="289" t="s">
        <v>77</v>
      </c>
      <c r="C35" s="289"/>
      <c r="D35" s="289"/>
      <c r="E35" s="289"/>
      <c r="F35" s="289"/>
      <c r="G35" s="289"/>
      <c r="H35" s="289"/>
      <c r="I35" s="289"/>
      <c r="J35" s="289"/>
      <c r="K35" s="289"/>
      <c r="L35" s="289"/>
      <c r="M35" s="289"/>
    </row>
    <row r="36" spans="2:13" ht="17.100000000000001" customHeight="1">
      <c r="B36" s="289"/>
      <c r="C36" s="289"/>
      <c r="D36" s="289"/>
      <c r="E36" s="289"/>
      <c r="F36" s="289"/>
      <c r="G36" s="289"/>
      <c r="H36" s="289"/>
      <c r="I36" s="289"/>
      <c r="J36" s="289"/>
      <c r="K36" s="289"/>
      <c r="L36" s="289"/>
      <c r="M36" s="289"/>
    </row>
    <row r="38" spans="2:13" hidden="1">
      <c r="B38" s="18" t="s">
        <v>78</v>
      </c>
    </row>
  </sheetData>
  <mergeCells count="57">
    <mergeCell ref="L24:L25"/>
    <mergeCell ref="K26:K27"/>
    <mergeCell ref="G34:M34"/>
    <mergeCell ref="B30:C30"/>
    <mergeCell ref="B31:C31"/>
    <mergeCell ref="B32:C32"/>
    <mergeCell ref="B17:B28"/>
    <mergeCell ref="H17:I17"/>
    <mergeCell ref="C28:E28"/>
    <mergeCell ref="L26:L27"/>
    <mergeCell ref="C24:C25"/>
    <mergeCell ref="D24:D25"/>
    <mergeCell ref="H24:H25"/>
    <mergeCell ref="I24:I25"/>
    <mergeCell ref="K24:K25"/>
    <mergeCell ref="F17:F18"/>
    <mergeCell ref="C26:C27"/>
    <mergeCell ref="D26:D27"/>
    <mergeCell ref="H26:H27"/>
    <mergeCell ref="I26:I27"/>
    <mergeCell ref="G16:I16"/>
    <mergeCell ref="C17:D18"/>
    <mergeCell ref="E17:E18"/>
    <mergeCell ref="L19:L20"/>
    <mergeCell ref="L21:L23"/>
    <mergeCell ref="C19:C20"/>
    <mergeCell ref="D19:D20"/>
    <mergeCell ref="H19:H20"/>
    <mergeCell ref="I19:I20"/>
    <mergeCell ref="K19:K20"/>
    <mergeCell ref="C21:C23"/>
    <mergeCell ref="D21:D23"/>
    <mergeCell ref="H21:H23"/>
    <mergeCell ref="I21:I23"/>
    <mergeCell ref="K21:K23"/>
    <mergeCell ref="E5:M8"/>
    <mergeCell ref="C11:E11"/>
    <mergeCell ref="G11:L11"/>
    <mergeCell ref="B12:C12"/>
    <mergeCell ref="D12:E12"/>
    <mergeCell ref="G12:L12"/>
    <mergeCell ref="M24:M25"/>
    <mergeCell ref="M26:M27"/>
    <mergeCell ref="G15:M15"/>
    <mergeCell ref="B9:M9"/>
    <mergeCell ref="B35:M36"/>
    <mergeCell ref="J16:L16"/>
    <mergeCell ref="M16:M18"/>
    <mergeCell ref="K17:L17"/>
    <mergeCell ref="M19:M20"/>
    <mergeCell ref="M21:M23"/>
    <mergeCell ref="C13:E13"/>
    <mergeCell ref="G13:L13"/>
    <mergeCell ref="C14:E14"/>
    <mergeCell ref="G14:L14"/>
    <mergeCell ref="B15:D16"/>
    <mergeCell ref="E15:F16"/>
  </mergeCells>
  <pageMargins left="0" right="0" top="0" bottom="0" header="0" footer="0"/>
  <pageSetup paperSize="9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65931-FEFB-4E7F-A71A-AEAC0DEAE633}">
  <sheetPr codeName="Feuil30">
    <tabColor rgb="FF7030A0"/>
  </sheetPr>
  <dimension ref="B5:M39"/>
  <sheetViews>
    <sheetView showGridLines="0" view="pageLayout" topLeftCell="A4" zoomScaleNormal="100" workbookViewId="0">
      <selection activeCell="C14" sqref="C14:E14"/>
    </sheetView>
  </sheetViews>
  <sheetFormatPr baseColWidth="10" defaultColWidth="10.88671875" defaultRowHeight="14.4"/>
  <cols>
    <col min="1" max="1" width="8" style="5" customWidth="1"/>
    <col min="2" max="2" width="10.88671875" style="5"/>
    <col min="3" max="3" width="8.88671875" style="5" customWidth="1"/>
    <col min="4" max="4" width="14.88671875" style="5" customWidth="1"/>
    <col min="5" max="5" width="28.33203125" style="5" customWidth="1"/>
    <col min="6" max="6" width="10.88671875" style="5" customWidth="1"/>
    <col min="7" max="7" width="7.88671875" style="5" customWidth="1"/>
    <col min="8" max="8" width="7" style="5" customWidth="1"/>
    <col min="9" max="9" width="7.44140625" style="5" customWidth="1"/>
    <col min="10" max="10" width="8.33203125" style="5" customWidth="1"/>
    <col min="11" max="11" width="7.109375" style="5" customWidth="1"/>
    <col min="12" max="12" width="8.33203125" style="5" customWidth="1"/>
    <col min="13" max="16384" width="10.88671875" style="5"/>
  </cols>
  <sheetData>
    <row r="5" spans="2:13">
      <c r="E5" s="288" t="s">
        <v>162</v>
      </c>
      <c r="F5" s="229"/>
      <c r="G5" s="229"/>
      <c r="H5" s="229"/>
      <c r="I5" s="229"/>
      <c r="J5" s="229"/>
      <c r="K5" s="229"/>
      <c r="L5" s="229"/>
      <c r="M5" s="229"/>
    </row>
    <row r="6" spans="2:13">
      <c r="E6" s="229"/>
      <c r="F6" s="229"/>
      <c r="G6" s="229"/>
      <c r="H6" s="229"/>
      <c r="I6" s="229"/>
      <c r="J6" s="229"/>
      <c r="K6" s="229"/>
      <c r="L6" s="229"/>
      <c r="M6" s="229"/>
    </row>
    <row r="7" spans="2:13">
      <c r="E7" s="229"/>
      <c r="F7" s="229"/>
      <c r="G7" s="229"/>
      <c r="H7" s="229"/>
      <c r="I7" s="229"/>
      <c r="J7" s="229"/>
      <c r="K7" s="229"/>
      <c r="L7" s="229"/>
      <c r="M7" s="229"/>
    </row>
    <row r="8" spans="2:13">
      <c r="E8" s="230"/>
      <c r="F8" s="230"/>
      <c r="G8" s="230"/>
      <c r="H8" s="230"/>
      <c r="I8" s="230"/>
      <c r="J8" s="230"/>
      <c r="K8" s="230"/>
      <c r="L8" s="230"/>
      <c r="M8" s="230"/>
    </row>
    <row r="9" spans="2:13" ht="18" customHeight="1">
      <c r="B9" s="316" t="s">
        <v>35</v>
      </c>
      <c r="C9" s="317"/>
      <c r="D9" s="317"/>
      <c r="E9" s="317"/>
      <c r="F9" s="317"/>
      <c r="G9" s="317"/>
      <c r="H9" s="317"/>
      <c r="I9" s="317"/>
      <c r="J9" s="317"/>
      <c r="K9" s="317"/>
      <c r="L9" s="317"/>
      <c r="M9" s="318"/>
    </row>
    <row r="10" spans="2:13" ht="18" customHeight="1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2:13">
      <c r="B11" s="6" t="s">
        <v>36</v>
      </c>
      <c r="C11" s="291" t="str">
        <f>'SEMESTRE N°1'!A37</f>
        <v>SONNA Franck Ninon</v>
      </c>
      <c r="D11" s="292"/>
      <c r="E11" s="292"/>
      <c r="F11" s="6" t="s">
        <v>37</v>
      </c>
      <c r="G11" s="294" t="str">
        <f>B39</f>
        <v>Licence Pro. Informatique-1ère année Tronc commun</v>
      </c>
      <c r="H11" s="294"/>
      <c r="I11" s="294"/>
      <c r="J11" s="294"/>
      <c r="K11" s="294"/>
      <c r="L11" s="294"/>
    </row>
    <row r="12" spans="2:13">
      <c r="B12" s="246" t="s">
        <v>38</v>
      </c>
      <c r="C12" s="246"/>
      <c r="D12" s="305" t="str">
        <f>'SEMESTRE N°1'!B37</f>
        <v>25/06/2002</v>
      </c>
      <c r="E12" s="294"/>
      <c r="F12" s="6" t="s">
        <v>29</v>
      </c>
      <c r="G12" s="294" t="str">
        <f>'SEMESTRE N°1'!E38</f>
        <v>TC-1</v>
      </c>
      <c r="H12" s="294"/>
      <c r="I12" s="294"/>
      <c r="J12" s="294"/>
      <c r="K12" s="294"/>
      <c r="L12" s="294"/>
    </row>
    <row r="13" spans="2:13">
      <c r="B13" s="6" t="s">
        <v>39</v>
      </c>
      <c r="C13" s="291" t="str">
        <f>'SEMESTRE N°1'!C37</f>
        <v>Camerounaise</v>
      </c>
      <c r="D13" s="292"/>
      <c r="E13" s="292"/>
      <c r="F13" s="6" t="s">
        <v>40</v>
      </c>
      <c r="G13" s="249"/>
      <c r="H13" s="249"/>
      <c r="I13" s="249"/>
      <c r="J13" s="249"/>
      <c r="K13" s="249"/>
      <c r="L13" s="249"/>
    </row>
    <row r="14" spans="2:13">
      <c r="B14" s="6" t="s">
        <v>41</v>
      </c>
      <c r="C14" s="296" t="str">
        <f>'SEMESTRE N°1'!D37</f>
        <v>282024</v>
      </c>
      <c r="D14" s="297"/>
      <c r="E14" s="297"/>
      <c r="F14" s="6" t="s">
        <v>42</v>
      </c>
      <c r="G14" s="249"/>
      <c r="H14" s="249"/>
      <c r="I14" s="249"/>
      <c r="J14" s="249"/>
      <c r="K14" s="249"/>
      <c r="L14" s="249"/>
    </row>
    <row r="15" spans="2:13">
      <c r="B15" s="281" t="s">
        <v>43</v>
      </c>
      <c r="C15" s="281"/>
      <c r="D15" s="281"/>
      <c r="E15" s="282" t="s">
        <v>17</v>
      </c>
      <c r="F15" s="283"/>
      <c r="G15" s="342" t="s">
        <v>44</v>
      </c>
      <c r="H15" s="343"/>
      <c r="I15" s="343"/>
      <c r="J15" s="343"/>
      <c r="K15" s="343"/>
      <c r="L15" s="343"/>
      <c r="M15" s="344"/>
    </row>
    <row r="16" spans="2:13">
      <c r="B16" s="281"/>
      <c r="C16" s="281"/>
      <c r="D16" s="281"/>
      <c r="E16" s="282"/>
      <c r="F16" s="283"/>
      <c r="G16" s="240" t="s">
        <v>83</v>
      </c>
      <c r="H16" s="240"/>
      <c r="I16" s="240"/>
      <c r="J16" s="256" t="s">
        <v>46</v>
      </c>
      <c r="K16" s="257"/>
      <c r="L16" s="338"/>
      <c r="M16" s="427" t="s">
        <v>47</v>
      </c>
    </row>
    <row r="17" spans="2:13">
      <c r="B17" s="233" t="s">
        <v>48</v>
      </c>
      <c r="C17" s="273" t="s">
        <v>49</v>
      </c>
      <c r="D17" s="273"/>
      <c r="E17" s="272" t="s">
        <v>49</v>
      </c>
      <c r="F17" s="272" t="s">
        <v>50</v>
      </c>
      <c r="G17" s="2" t="s">
        <v>51</v>
      </c>
      <c r="H17" s="272" t="s">
        <v>52</v>
      </c>
      <c r="I17" s="272"/>
      <c r="J17" s="87" t="s">
        <v>51</v>
      </c>
      <c r="K17" s="262" t="s">
        <v>52</v>
      </c>
      <c r="L17" s="337"/>
      <c r="M17" s="428"/>
    </row>
    <row r="18" spans="2:13">
      <c r="B18" s="234"/>
      <c r="C18" s="272"/>
      <c r="D18" s="274"/>
      <c r="E18" s="272"/>
      <c r="F18" s="272"/>
      <c r="G18" s="60" t="s">
        <v>53</v>
      </c>
      <c r="H18" s="60" t="s">
        <v>53</v>
      </c>
      <c r="I18" s="60" t="s">
        <v>50</v>
      </c>
      <c r="J18" s="87" t="s">
        <v>53</v>
      </c>
      <c r="K18" s="87" t="s">
        <v>53</v>
      </c>
      <c r="L18" s="87" t="s">
        <v>50</v>
      </c>
      <c r="M18" s="429"/>
    </row>
    <row r="19" spans="2:13" ht="17.399999999999999" customHeight="1">
      <c r="B19" s="234"/>
      <c r="C19" s="243" t="s">
        <v>54</v>
      </c>
      <c r="D19" s="268" t="s">
        <v>55</v>
      </c>
      <c r="E19" s="136" t="s">
        <v>56</v>
      </c>
      <c r="F19" s="9">
        <v>3</v>
      </c>
      <c r="G19" s="103">
        <f>[1]BULL_N28!G19</f>
        <v>15.2</v>
      </c>
      <c r="H19" s="386">
        <f>IF(AND(G19&gt;=7, G20&gt;=7), ROUND(((F19*G19) + (F20*G20)) / (F19 + F20), 2), 0)</f>
        <v>14.35</v>
      </c>
      <c r="I19" s="386">
        <f>IF(H19&gt;9.99,(F19+F20),0)</f>
        <v>6</v>
      </c>
      <c r="J19" s="90"/>
      <c r="K19" s="235"/>
      <c r="L19" s="235"/>
      <c r="M19" s="254" t="str">
        <f>IF(H19&gt;9.99,"Validé","Non validé")</f>
        <v>Validé</v>
      </c>
    </row>
    <row r="20" spans="2:13" ht="18.899999999999999" customHeight="1">
      <c r="B20" s="234"/>
      <c r="C20" s="243"/>
      <c r="D20" s="269"/>
      <c r="E20" s="136" t="s">
        <v>57</v>
      </c>
      <c r="F20" s="9">
        <v>3</v>
      </c>
      <c r="G20" s="103">
        <f>[1]BULL_N28!G20</f>
        <v>13.5</v>
      </c>
      <c r="H20" s="315"/>
      <c r="I20" s="386"/>
      <c r="J20" s="90"/>
      <c r="K20" s="235"/>
      <c r="L20" s="235"/>
      <c r="M20" s="263"/>
    </row>
    <row r="21" spans="2:13" ht="14.4" customHeight="1">
      <c r="B21" s="234"/>
      <c r="C21" s="243" t="s">
        <v>58</v>
      </c>
      <c r="D21" s="268" t="s">
        <v>59</v>
      </c>
      <c r="E21" s="136" t="s">
        <v>169</v>
      </c>
      <c r="F21" s="9">
        <v>5</v>
      </c>
      <c r="G21" s="103">
        <f>[1]BULL_N28!G21</f>
        <v>14.200000000000001</v>
      </c>
      <c r="H21" s="386">
        <f>IF(AND(G21&gt;=7, G22&gt;=7, G23&gt;=7), ROUND(((F21*G21) + (F22*G22)+ (F23*G23)) / (F21 + F22+F23), 2), 0)</f>
        <v>14.25</v>
      </c>
      <c r="I21" s="386">
        <f>IF(H21&gt;9.99,(F21+F22+F23),0)</f>
        <v>11</v>
      </c>
      <c r="J21" s="93"/>
      <c r="K21" s="280"/>
      <c r="L21" s="236"/>
      <c r="M21" s="430" t="str">
        <f>IF(H21&gt;9.99,"Validé","Non validé")</f>
        <v>Validé</v>
      </c>
    </row>
    <row r="22" spans="2:13" ht="15.6">
      <c r="B22" s="234"/>
      <c r="C22" s="243"/>
      <c r="D22" s="279"/>
      <c r="E22" s="136" t="s">
        <v>61</v>
      </c>
      <c r="F22" s="9">
        <v>3</v>
      </c>
      <c r="G22" s="103">
        <f>[1]BULL_N28!G22</f>
        <v>17.240000000000002</v>
      </c>
      <c r="H22" s="315"/>
      <c r="I22" s="386"/>
      <c r="J22" s="90"/>
      <c r="K22" s="280"/>
      <c r="L22" s="237"/>
      <c r="M22" s="431"/>
    </row>
    <row r="23" spans="2:13" ht="15" customHeight="1">
      <c r="B23" s="234"/>
      <c r="C23" s="243"/>
      <c r="D23" s="269"/>
      <c r="E23" s="136" t="s">
        <v>62</v>
      </c>
      <c r="F23" s="9">
        <v>3</v>
      </c>
      <c r="G23" s="103">
        <f>[1]BULL_N28!G23</f>
        <v>11.350000000000001</v>
      </c>
      <c r="H23" s="315"/>
      <c r="I23" s="386"/>
      <c r="J23" s="90"/>
      <c r="K23" s="280"/>
      <c r="L23" s="238"/>
      <c r="M23" s="432"/>
    </row>
    <row r="24" spans="2:13" ht="18.600000000000001" customHeight="1">
      <c r="B24" s="234"/>
      <c r="C24" s="243" t="s">
        <v>63</v>
      </c>
      <c r="D24" s="268" t="s">
        <v>64</v>
      </c>
      <c r="E24" s="136" t="s">
        <v>65</v>
      </c>
      <c r="F24" s="9">
        <v>4</v>
      </c>
      <c r="G24" s="103">
        <f>[1]BULL_N28!G24</f>
        <v>18.899999999999999</v>
      </c>
      <c r="H24" s="386">
        <f>IF(AND(G24&gt;=7, G25&gt;=7), ROUND(((F24*G24) + (F25*G25)) / (F24 + F25), 2), 0)</f>
        <v>18.649999999999999</v>
      </c>
      <c r="I24" s="386">
        <f>IF(H24&gt;9.99,(F24+F25),0)</f>
        <v>8</v>
      </c>
      <c r="J24" s="90"/>
      <c r="K24" s="286"/>
      <c r="L24" s="286"/>
      <c r="M24" s="254" t="str">
        <f>IF(H24&gt;9.99,"Validé","Non validé")</f>
        <v>Validé</v>
      </c>
    </row>
    <row r="25" spans="2:13" ht="15.6">
      <c r="B25" s="234"/>
      <c r="C25" s="243"/>
      <c r="D25" s="269"/>
      <c r="E25" s="136" t="s">
        <v>66</v>
      </c>
      <c r="F25" s="9">
        <v>4</v>
      </c>
      <c r="G25" s="103">
        <f>[1]BULL_N28!G25</f>
        <v>18.399999999999999</v>
      </c>
      <c r="H25" s="315"/>
      <c r="I25" s="386"/>
      <c r="J25" s="90"/>
      <c r="K25" s="287"/>
      <c r="L25" s="287"/>
      <c r="M25" s="255"/>
    </row>
    <row r="26" spans="2:13" ht="17.399999999999999" customHeight="1">
      <c r="B26" s="234"/>
      <c r="C26" s="243" t="s">
        <v>67</v>
      </c>
      <c r="D26" s="268" t="s">
        <v>68</v>
      </c>
      <c r="E26" s="136" t="s">
        <v>69</v>
      </c>
      <c r="F26" s="9">
        <v>2</v>
      </c>
      <c r="G26" s="103">
        <f>[1]BULL_N28!G26</f>
        <v>17</v>
      </c>
      <c r="H26" s="386">
        <f>IF(AND(G26&gt;=7, G27&gt;=7), ROUND(((F26*G26) + (F27*G27)) / (F26 + F27), 2), 0)</f>
        <v>18.53</v>
      </c>
      <c r="I26" s="386">
        <f>IF(H26&gt;9.99,(F26+F27),0)</f>
        <v>5</v>
      </c>
      <c r="J26" s="93"/>
      <c r="K26" s="231"/>
      <c r="L26" s="231"/>
      <c r="M26" s="254" t="str">
        <f>IF(H26&gt;9.99,"Validé","Non validé")</f>
        <v>Validé</v>
      </c>
    </row>
    <row r="27" spans="2:13" ht="24.6" customHeight="1">
      <c r="B27" s="234"/>
      <c r="C27" s="243"/>
      <c r="D27" s="269"/>
      <c r="E27" s="136" t="s">
        <v>70</v>
      </c>
      <c r="F27" s="9">
        <v>3</v>
      </c>
      <c r="G27" s="103">
        <f>[1]BULL_N28!G27</f>
        <v>19.548000000000002</v>
      </c>
      <c r="H27" s="315"/>
      <c r="I27" s="386"/>
      <c r="J27" s="93"/>
      <c r="K27" s="299"/>
      <c r="L27" s="232"/>
      <c r="M27" s="255"/>
    </row>
    <row r="28" spans="2:13">
      <c r="B28" s="234"/>
      <c r="C28" s="284" t="s">
        <v>71</v>
      </c>
      <c r="D28" s="285"/>
      <c r="E28" s="284"/>
      <c r="F28" s="19">
        <f>F19+F20+F21+F22+F23+F24+F25+F26+F27</f>
        <v>30</v>
      </c>
      <c r="G28" s="104"/>
      <c r="H28" s="112">
        <f>ROUND((H19+H21+H24+H26)/4,2)</f>
        <v>16.45</v>
      </c>
      <c r="I28" s="181">
        <f>I26+I24+I21+I19</f>
        <v>30</v>
      </c>
      <c r="J28" s="433"/>
      <c r="K28" s="433"/>
      <c r="L28" s="433"/>
      <c r="M28" s="434"/>
    </row>
    <row r="29" spans="2:13">
      <c r="C29" s="11"/>
      <c r="G29" s="11"/>
    </row>
    <row r="30" spans="2:13" ht="18">
      <c r="B30" s="392" t="s">
        <v>72</v>
      </c>
      <c r="C30" s="393"/>
      <c r="D30" s="21">
        <f>I19+I21+I24+I26</f>
        <v>30</v>
      </c>
      <c r="E30" s="12"/>
      <c r="F30" s="13"/>
      <c r="G30" s="14"/>
      <c r="H30" s="15"/>
      <c r="I30" s="15"/>
      <c r="K30" s="330" t="s">
        <v>73</v>
      </c>
      <c r="L30" s="330"/>
      <c r="M30" s="330"/>
    </row>
    <row r="31" spans="2:13">
      <c r="B31" s="394" t="s">
        <v>74</v>
      </c>
      <c r="C31" s="395"/>
      <c r="D31" s="22" t="str">
        <f>IF(D30=F28,"Semestre validé","Semestre non validé")</f>
        <v>Semestre validé</v>
      </c>
      <c r="E31" s="13"/>
      <c r="F31" s="13"/>
      <c r="G31" s="16"/>
      <c r="L31" s="13"/>
    </row>
    <row r="32" spans="2:13">
      <c r="B32" s="394" t="s">
        <v>75</v>
      </c>
      <c r="C32" s="395"/>
      <c r="D32" s="1">
        <v>0</v>
      </c>
      <c r="E32" s="13"/>
      <c r="F32" s="13"/>
      <c r="G32" s="16"/>
      <c r="H32" s="13"/>
      <c r="I32" s="13"/>
      <c r="J32" s="13"/>
    </row>
    <row r="33" spans="2:13">
      <c r="B33" s="59"/>
      <c r="C33" s="59"/>
      <c r="D33" s="1"/>
      <c r="E33" s="13"/>
      <c r="F33" s="13"/>
      <c r="G33" s="16"/>
      <c r="H33" s="13"/>
      <c r="I33" s="13"/>
      <c r="J33" s="13"/>
    </row>
    <row r="34" spans="2:13">
      <c r="C34" s="16"/>
      <c r="D34" s="13"/>
      <c r="E34" s="13"/>
      <c r="F34" s="13"/>
      <c r="G34" s="16"/>
      <c r="H34" s="13"/>
      <c r="I34" s="13"/>
      <c r="J34" s="13"/>
    </row>
    <row r="35" spans="2:13" ht="18">
      <c r="C35" s="11"/>
      <c r="G35" s="275" t="s">
        <v>76</v>
      </c>
      <c r="H35" s="275"/>
      <c r="I35" s="275"/>
      <c r="J35" s="275"/>
      <c r="K35" s="275"/>
      <c r="L35" s="275"/>
      <c r="M35" s="275"/>
    </row>
    <row r="36" spans="2:13" ht="8.4" customHeight="1">
      <c r="C36" s="11"/>
      <c r="G36" s="11"/>
    </row>
    <row r="37" spans="2:13" ht="15" customHeight="1">
      <c r="B37" s="373" t="s">
        <v>77</v>
      </c>
      <c r="C37" s="373"/>
      <c r="D37" s="373"/>
      <c r="E37" s="373"/>
      <c r="F37" s="373"/>
      <c r="G37" s="373"/>
      <c r="H37" s="373"/>
      <c r="I37" s="373"/>
      <c r="J37" s="373"/>
      <c r="K37" s="373"/>
      <c r="L37" s="373"/>
      <c r="M37" s="373"/>
    </row>
    <row r="38" spans="2:13">
      <c r="B38" s="373"/>
      <c r="C38" s="373"/>
      <c r="D38" s="373"/>
      <c r="E38" s="373"/>
      <c r="F38" s="373"/>
      <c r="G38" s="373"/>
      <c r="H38" s="373"/>
      <c r="I38" s="373"/>
      <c r="J38" s="373"/>
      <c r="K38" s="373"/>
      <c r="L38" s="373"/>
      <c r="M38" s="373"/>
    </row>
    <row r="39" spans="2:13" hidden="1">
      <c r="B39" s="18" t="s">
        <v>78</v>
      </c>
    </row>
  </sheetData>
  <mergeCells count="59">
    <mergeCell ref="C28:E28"/>
    <mergeCell ref="B30:C30"/>
    <mergeCell ref="B31:C31"/>
    <mergeCell ref="B32:C32"/>
    <mergeCell ref="J28:M28"/>
    <mergeCell ref="L26:L27"/>
    <mergeCell ref="L24:L25"/>
    <mergeCell ref="C24:C25"/>
    <mergeCell ref="D24:D25"/>
    <mergeCell ref="H24:H25"/>
    <mergeCell ref="I24:I25"/>
    <mergeCell ref="K24:K25"/>
    <mergeCell ref="C26:C27"/>
    <mergeCell ref="D26:D27"/>
    <mergeCell ref="H26:H27"/>
    <mergeCell ref="I26:I27"/>
    <mergeCell ref="K26:K27"/>
    <mergeCell ref="C21:C23"/>
    <mergeCell ref="D21:D23"/>
    <mergeCell ref="H21:H23"/>
    <mergeCell ref="I21:I23"/>
    <mergeCell ref="K21:K23"/>
    <mergeCell ref="C19:C20"/>
    <mergeCell ref="D19:D20"/>
    <mergeCell ref="H19:H20"/>
    <mergeCell ref="I19:I20"/>
    <mergeCell ref="K19:K20"/>
    <mergeCell ref="E5:M8"/>
    <mergeCell ref="G35:M35"/>
    <mergeCell ref="C11:E11"/>
    <mergeCell ref="G11:L11"/>
    <mergeCell ref="B12:C12"/>
    <mergeCell ref="D12:E12"/>
    <mergeCell ref="G12:L12"/>
    <mergeCell ref="C13:E13"/>
    <mergeCell ref="G13:L13"/>
    <mergeCell ref="C14:E14"/>
    <mergeCell ref="G14:L14"/>
    <mergeCell ref="B15:D16"/>
    <mergeCell ref="E15:F16"/>
    <mergeCell ref="G16:I16"/>
    <mergeCell ref="B17:B28"/>
    <mergeCell ref="C17:D18"/>
    <mergeCell ref="B37:M38"/>
    <mergeCell ref="M24:M25"/>
    <mergeCell ref="M26:M27"/>
    <mergeCell ref="G15:M15"/>
    <mergeCell ref="B9:M9"/>
    <mergeCell ref="K30:M30"/>
    <mergeCell ref="J16:L16"/>
    <mergeCell ref="M16:M18"/>
    <mergeCell ref="K17:L17"/>
    <mergeCell ref="M19:M20"/>
    <mergeCell ref="M21:M23"/>
    <mergeCell ref="E17:E18"/>
    <mergeCell ref="F17:F18"/>
    <mergeCell ref="H17:I17"/>
    <mergeCell ref="L19:L20"/>
    <mergeCell ref="L21:L23"/>
  </mergeCells>
  <pageMargins left="0" right="0" top="0" bottom="0" header="0" footer="0"/>
  <pageSetup paperSize="9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0E6ED-3700-499F-BB83-D0390337495F}">
  <sheetPr codeName="Feuil31">
    <tabColor rgb="FF7030A0"/>
  </sheetPr>
  <dimension ref="B4:M39"/>
  <sheetViews>
    <sheetView showGridLines="0" view="pageLayout" topLeftCell="A7" zoomScaleNormal="100" workbookViewId="0">
      <selection activeCell="J20" sqref="J20"/>
    </sheetView>
  </sheetViews>
  <sheetFormatPr baseColWidth="10" defaultColWidth="10.88671875" defaultRowHeight="14.4"/>
  <cols>
    <col min="1" max="1" width="7" style="5" customWidth="1"/>
    <col min="2" max="2" width="10.88671875" style="5"/>
    <col min="3" max="3" width="10.6640625" style="5" customWidth="1"/>
    <col min="4" max="4" width="15" style="5" customWidth="1"/>
    <col min="5" max="5" width="29" style="5" customWidth="1"/>
    <col min="6" max="6" width="11.109375" style="5" customWidth="1"/>
    <col min="7" max="7" width="7.88671875" style="5" customWidth="1"/>
    <col min="8" max="8" width="7" style="5" customWidth="1"/>
    <col min="9" max="9" width="7.44140625" style="5" customWidth="1"/>
    <col min="10" max="12" width="8.6640625" style="5" customWidth="1"/>
    <col min="13" max="13" width="12.6640625" style="5" customWidth="1"/>
    <col min="14" max="16384" width="10.88671875" style="5"/>
  </cols>
  <sheetData>
    <row r="4" spans="2:13" ht="6.75" customHeight="1"/>
    <row r="5" spans="2:13" ht="20.25" customHeight="1">
      <c r="E5" s="375" t="s">
        <v>162</v>
      </c>
      <c r="F5" s="375"/>
      <c r="G5" s="375"/>
      <c r="H5" s="375"/>
      <c r="I5" s="375"/>
      <c r="J5" s="375"/>
      <c r="K5" s="375"/>
      <c r="L5" s="375"/>
      <c r="M5" s="375"/>
    </row>
    <row r="6" spans="2:13">
      <c r="E6" s="375"/>
      <c r="F6" s="375"/>
      <c r="G6" s="375"/>
      <c r="H6" s="375"/>
      <c r="I6" s="375"/>
      <c r="J6" s="375"/>
      <c r="K6" s="375"/>
      <c r="L6" s="375"/>
      <c r="M6" s="375"/>
    </row>
    <row r="7" spans="2:13">
      <c r="E7" s="375"/>
      <c r="F7" s="375"/>
      <c r="G7" s="375"/>
      <c r="H7" s="375"/>
      <c r="I7" s="375"/>
      <c r="J7" s="375"/>
      <c r="K7" s="375"/>
      <c r="L7" s="375"/>
      <c r="M7" s="375"/>
    </row>
    <row r="8" spans="2:13">
      <c r="E8" s="376"/>
      <c r="F8" s="376"/>
      <c r="G8" s="376"/>
      <c r="H8" s="376"/>
      <c r="I8" s="376"/>
      <c r="J8" s="376"/>
      <c r="K8" s="376"/>
      <c r="L8" s="376"/>
      <c r="M8" s="376"/>
    </row>
    <row r="9" spans="2:13" ht="18" customHeight="1">
      <c r="B9" s="316" t="s">
        <v>35</v>
      </c>
      <c r="C9" s="437"/>
      <c r="D9" s="437"/>
      <c r="E9" s="437"/>
      <c r="F9" s="437"/>
      <c r="G9" s="437"/>
      <c r="H9" s="437"/>
      <c r="I9" s="437"/>
      <c r="J9" s="437"/>
      <c r="K9" s="437"/>
      <c r="L9" s="437"/>
      <c r="M9" s="438"/>
    </row>
    <row r="10" spans="2:13" ht="18" customHeight="1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2:13">
      <c r="B11" s="6" t="s">
        <v>36</v>
      </c>
      <c r="C11" s="292" t="str">
        <f>'SEMESTRE N°1'!A38</f>
        <v>TALLA Jeremy Icknane</v>
      </c>
      <c r="D11" s="292"/>
      <c r="E11" s="292"/>
      <c r="F11" s="6" t="s">
        <v>37</v>
      </c>
      <c r="G11" s="294" t="str">
        <f>B39</f>
        <v>Licence Pro. Informatique-1ère année Tronc commun</v>
      </c>
      <c r="H11" s="294"/>
      <c r="I11" s="294"/>
      <c r="J11" s="294"/>
      <c r="K11" s="294"/>
      <c r="L11" s="294"/>
    </row>
    <row r="12" spans="2:13">
      <c r="B12" s="246" t="s">
        <v>38</v>
      </c>
      <c r="C12" s="246"/>
      <c r="D12" s="296" t="str">
        <f>'SEMESTRE N°1'!B38</f>
        <v>25/08/2007</v>
      </c>
      <c r="E12" s="297"/>
      <c r="F12" s="6" t="s">
        <v>29</v>
      </c>
      <c r="G12" s="294" t="str">
        <f>'SEMESTRE N°1'!E39</f>
        <v>TC-1</v>
      </c>
      <c r="H12" s="294"/>
      <c r="I12" s="294"/>
      <c r="J12" s="294"/>
      <c r="K12" s="294"/>
      <c r="L12" s="294"/>
    </row>
    <row r="13" spans="2:13">
      <c r="B13" s="6" t="s">
        <v>39</v>
      </c>
      <c r="C13" s="291" t="str">
        <f>'SEMESTRE N°1'!C38</f>
        <v>Gabonaise</v>
      </c>
      <c r="D13" s="292"/>
      <c r="E13" s="292"/>
      <c r="F13" s="6" t="s">
        <v>40</v>
      </c>
      <c r="G13" s="249"/>
      <c r="H13" s="249"/>
      <c r="I13" s="249"/>
      <c r="J13" s="249"/>
      <c r="K13" s="249"/>
      <c r="L13" s="249"/>
    </row>
    <row r="14" spans="2:13">
      <c r="B14" s="6" t="s">
        <v>41</v>
      </c>
      <c r="C14" s="305" t="str">
        <f>'SEMESTRE N°1'!D38</f>
        <v>302024</v>
      </c>
      <c r="D14" s="294"/>
      <c r="E14" s="294"/>
      <c r="F14" s="6" t="s">
        <v>42</v>
      </c>
      <c r="G14" s="249"/>
      <c r="H14" s="249"/>
      <c r="I14" s="249"/>
      <c r="J14" s="249"/>
      <c r="K14" s="249"/>
      <c r="L14" s="249"/>
    </row>
    <row r="15" spans="2:13">
      <c r="B15" s="281" t="s">
        <v>43</v>
      </c>
      <c r="C15" s="281"/>
      <c r="D15" s="281"/>
      <c r="E15" s="282" t="s">
        <v>17</v>
      </c>
      <c r="F15" s="371"/>
      <c r="G15" s="342" t="s">
        <v>44</v>
      </c>
      <c r="H15" s="343"/>
      <c r="I15" s="343"/>
      <c r="J15" s="343"/>
      <c r="K15" s="343"/>
      <c r="L15" s="343"/>
      <c r="M15" s="344"/>
    </row>
    <row r="16" spans="2:13">
      <c r="B16" s="281"/>
      <c r="C16" s="281"/>
      <c r="D16" s="281"/>
      <c r="E16" s="282"/>
      <c r="F16" s="371"/>
      <c r="G16" s="372" t="s">
        <v>83</v>
      </c>
      <c r="H16" s="372"/>
      <c r="I16" s="372"/>
      <c r="J16" s="399" t="s">
        <v>46</v>
      </c>
      <c r="K16" s="400"/>
      <c r="L16" s="401"/>
      <c r="M16" s="439" t="s">
        <v>47</v>
      </c>
    </row>
    <row r="17" spans="2:13">
      <c r="B17" s="233" t="s">
        <v>48</v>
      </c>
      <c r="C17" s="273" t="s">
        <v>49</v>
      </c>
      <c r="D17" s="273"/>
      <c r="E17" s="272" t="s">
        <v>49</v>
      </c>
      <c r="F17" s="435" t="s">
        <v>50</v>
      </c>
      <c r="G17" s="2" t="s">
        <v>51</v>
      </c>
      <c r="H17" s="272" t="s">
        <v>52</v>
      </c>
      <c r="I17" s="272"/>
      <c r="J17" s="87" t="s">
        <v>51</v>
      </c>
      <c r="K17" s="262" t="s">
        <v>52</v>
      </c>
      <c r="L17" s="337"/>
      <c r="M17" s="440"/>
    </row>
    <row r="18" spans="2:13">
      <c r="B18" s="234"/>
      <c r="C18" s="272"/>
      <c r="D18" s="274"/>
      <c r="E18" s="272"/>
      <c r="F18" s="435"/>
      <c r="G18" s="60" t="s">
        <v>53</v>
      </c>
      <c r="H18" s="60" t="s">
        <v>53</v>
      </c>
      <c r="I18" s="60" t="s">
        <v>50</v>
      </c>
      <c r="J18" s="157" t="s">
        <v>53</v>
      </c>
      <c r="K18" s="157" t="s">
        <v>53</v>
      </c>
      <c r="L18" s="157" t="s">
        <v>50</v>
      </c>
      <c r="M18" s="441"/>
    </row>
    <row r="19" spans="2:13" ht="15.6">
      <c r="B19" s="234"/>
      <c r="C19" s="243" t="s">
        <v>54</v>
      </c>
      <c r="D19" s="268" t="s">
        <v>55</v>
      </c>
      <c r="E19" s="136" t="s">
        <v>56</v>
      </c>
      <c r="F19" s="9">
        <v>3</v>
      </c>
      <c r="G19" s="156">
        <f>[1]BULL_N29!G19</f>
        <v>9.1999999999999993</v>
      </c>
      <c r="H19" s="358">
        <f>IF(AND(G19&gt;=7, G20&gt;=7), ROUND(((F19*G19) + (F20*G20)) / (F19 + F20), 2), 0)</f>
        <v>8.48</v>
      </c>
      <c r="I19" s="358">
        <f>IF(H19&gt;9.99,(F19+F20),0)</f>
        <v>0</v>
      </c>
      <c r="J19" s="90">
        <f>IF(AND(G19&lt;10, H19&lt;10), 'SEMESTRE N°1'!G38, IF(AND(G19&gt;=10, H19&gt;=10), G19, IF(AND(G19&gt;=10, H19&lt;10), G19, IF(AND(G19&lt;10, H19&gt;=10), G19, ""))))</f>
        <v>10</v>
      </c>
      <c r="K19" s="235">
        <f>IF(AND(J19&gt;=7, J20&gt;=7), ROUND(((F19*J19) + (F20*J20)) / (F19 + F20), 2), 0)</f>
        <v>11</v>
      </c>
      <c r="L19" s="235">
        <f>IF(K19&gt;9.99,(F19+F20),0)</f>
        <v>6</v>
      </c>
      <c r="M19" s="263" t="str">
        <f>IF(K19&gt;9.99,"Validé","Non validé")</f>
        <v>Validé</v>
      </c>
    </row>
    <row r="20" spans="2:13" ht="15.6">
      <c r="B20" s="234"/>
      <c r="C20" s="243"/>
      <c r="D20" s="269"/>
      <c r="E20" s="136" t="s">
        <v>57</v>
      </c>
      <c r="F20" s="9">
        <v>3</v>
      </c>
      <c r="G20" s="156">
        <f>[1]BULL_N29!G20</f>
        <v>7.7519999999999998</v>
      </c>
      <c r="H20" s="359"/>
      <c r="I20" s="358"/>
      <c r="J20" s="90">
        <f>IF(AND(G20&lt;10, H19&lt;10), 'SEMESTRE N°1'!J38, IF(AND(G20&gt;=10, H19&gt;=10), G20, IF(AND(G20&gt;=10, H19&lt;10), G20, IF(AND(G20&lt;10, H19&gt;=10), G20, ""))))</f>
        <v>12</v>
      </c>
      <c r="K20" s="235"/>
      <c r="L20" s="235"/>
      <c r="M20" s="263"/>
    </row>
    <row r="21" spans="2:13" ht="15.6">
      <c r="B21" s="234"/>
      <c r="C21" s="243" t="s">
        <v>58</v>
      </c>
      <c r="D21" s="268" t="s">
        <v>59</v>
      </c>
      <c r="E21" s="136" t="s">
        <v>169</v>
      </c>
      <c r="F21" s="9">
        <v>5</v>
      </c>
      <c r="G21" s="156">
        <f>[1]BULL_N29!G21</f>
        <v>11.4</v>
      </c>
      <c r="H21" s="358">
        <f>IF(AND(G21&gt;=7, G22&gt;=7, G23&gt;=7), ROUND(((F21*G21) + (F22*G22)+ (F23*G23)) / (F21 + F22+F23), 2), 0)</f>
        <v>0</v>
      </c>
      <c r="I21" s="358">
        <f>IF(H21&gt;9.99,(F21+F22+F23),0)</f>
        <v>0</v>
      </c>
      <c r="J21" s="93">
        <f>IF(AND(G21&lt;10, H21&lt;10), 'SEMESTRE N°1'!M38, IF(AND(G21&gt;=10, H21&gt;=10), G21, IF(AND(G21&gt;=10, H21&lt;10), G21, IF(AND(G21&lt;10, H21&gt;=10), G21, ""))))</f>
        <v>11.4</v>
      </c>
      <c r="K21" s="280">
        <f>IF(AND(J21&gt;=7, J22&gt;=7, J23&gt;=7), ROUND(((F21*J21) + (F22*J22)+ (F23*J23)) / (F21 + F22+F23), 2), 0)</f>
        <v>10.36</v>
      </c>
      <c r="L21" s="236">
        <f>IF(K21&gt;9.99,(F21+F22+F23),0)</f>
        <v>11</v>
      </c>
      <c r="M21" s="430" t="str">
        <f>IF(K21&gt;9.99,"Validé","Non validé")</f>
        <v>Validé</v>
      </c>
    </row>
    <row r="22" spans="2:13" ht="15.6">
      <c r="B22" s="234"/>
      <c r="C22" s="243"/>
      <c r="D22" s="279"/>
      <c r="E22" s="136" t="s">
        <v>61</v>
      </c>
      <c r="F22" s="9">
        <v>3</v>
      </c>
      <c r="G22" s="156">
        <f>[1]BULL_N29!G22</f>
        <v>8.52</v>
      </c>
      <c r="H22" s="359"/>
      <c r="I22" s="358"/>
      <c r="J22" s="90">
        <f>IF(AND(G22&lt;10, H21&lt;10), 'SEMESTRE N°1'!P38, IF(AND(G22&gt;=10, H21&gt;=10), G22, IF(AND(G22&gt;=10, H21&lt;10), G22, IF(AND(G22&lt;10, H21&gt;=10), G22, ""))))</f>
        <v>8</v>
      </c>
      <c r="K22" s="280"/>
      <c r="L22" s="237"/>
      <c r="M22" s="431"/>
    </row>
    <row r="23" spans="2:13" ht="15.6">
      <c r="B23" s="234"/>
      <c r="C23" s="243"/>
      <c r="D23" s="269"/>
      <c r="E23" s="136" t="s">
        <v>62</v>
      </c>
      <c r="F23" s="9">
        <v>3</v>
      </c>
      <c r="G23" s="156">
        <f>[1]BULL_N29!G23</f>
        <v>4.3000000000000007</v>
      </c>
      <c r="H23" s="359"/>
      <c r="I23" s="358"/>
      <c r="J23" s="90">
        <f>IF(AND(G23&lt;10, H21&lt;10), 'SEMESTRE N°1'!S38, IF(AND(G23&gt;=10, H21&gt;=10), G23, IF(AND(G23&gt;=10, H21&lt;10), G23, IF(AND(G23&lt;10, H21&gt;=10), G23, ""))))</f>
        <v>11</v>
      </c>
      <c r="K23" s="280"/>
      <c r="L23" s="238"/>
      <c r="M23" s="432"/>
    </row>
    <row r="24" spans="2:13" ht="15.6">
      <c r="B24" s="234"/>
      <c r="C24" s="243" t="s">
        <v>63</v>
      </c>
      <c r="D24" s="268" t="s">
        <v>64</v>
      </c>
      <c r="E24" s="136" t="s">
        <v>65</v>
      </c>
      <c r="F24" s="9">
        <v>4</v>
      </c>
      <c r="G24" s="156">
        <f>[1]BULL_N29!G24</f>
        <v>4.5</v>
      </c>
      <c r="H24" s="358">
        <f>IF(AND(G24&gt;=7, G25&gt;=7), ROUND(((F24*G24) + (F25*G25)) / (F24 + F25), 2), 0)</f>
        <v>0</v>
      </c>
      <c r="I24" s="358">
        <f>IF(H24&gt;9.99,(F24+F25),0)</f>
        <v>0</v>
      </c>
      <c r="J24" s="90">
        <f>IF(AND(G24&lt;10, H24&lt;10), 'SEMESTRE N°1'!V38, IF(AND(G24&gt;=10, H24&gt;=10), G24, IF(AND(G24&gt;=10, H24&lt;10), G24, IF(AND(G24&lt;10, H24&gt;=10), G24, ""))))</f>
        <v>11</v>
      </c>
      <c r="K24" s="286">
        <f>IF(AND(J24&gt;=7, J25&gt;=7), ROUND(((F24*J24) + (F25*J25)) / (F24 + F25), 2), 0)</f>
        <v>10</v>
      </c>
      <c r="L24" s="286">
        <f>IF(K24&gt;9.99,(F24+F25),0)</f>
        <v>8</v>
      </c>
      <c r="M24" s="254" t="str">
        <f>IF(K24&gt;9.99,"Validé","Non validé")</f>
        <v>Validé</v>
      </c>
    </row>
    <row r="25" spans="2:13" ht="15.6">
      <c r="B25" s="234"/>
      <c r="C25" s="243"/>
      <c r="D25" s="269"/>
      <c r="E25" s="136" t="s">
        <v>66</v>
      </c>
      <c r="F25" s="9">
        <v>4</v>
      </c>
      <c r="G25" s="156">
        <f>[1]BULL_N29!G25</f>
        <v>9.1999999999999993</v>
      </c>
      <c r="H25" s="359"/>
      <c r="I25" s="358"/>
      <c r="J25" s="90">
        <f>IF(AND(G25&lt;10, H24&lt;10), 'SEMESTRE N°1'!Y38, IF(AND(G25&gt;=10, H24&gt;=10), G25, IF(AND(G25&gt;=10, H24&lt;10), G25, IF(AND(G25&lt;10, H24&gt;=10), G25, ""))))</f>
        <v>9</v>
      </c>
      <c r="K25" s="287"/>
      <c r="L25" s="235"/>
      <c r="M25" s="255"/>
    </row>
    <row r="26" spans="2:13" ht="17.399999999999999" customHeight="1">
      <c r="B26" s="234"/>
      <c r="C26" s="243" t="s">
        <v>67</v>
      </c>
      <c r="D26" s="355" t="s">
        <v>68</v>
      </c>
      <c r="E26" s="136" t="s">
        <v>69</v>
      </c>
      <c r="F26" s="9">
        <v>2</v>
      </c>
      <c r="G26" s="156">
        <f>[1]BULL_N29!G26</f>
        <v>8.3000000000000007</v>
      </c>
      <c r="H26" s="358">
        <f>IF(AND(G26&gt;=7, G27&gt;=7), ROUND(((F26*G26) + (F27*G27)) / (F26 + F27), 2), 0)</f>
        <v>10.91</v>
      </c>
      <c r="I26" s="358">
        <f>IF(H26&gt;9.99,(F26+F27),0)</f>
        <v>5</v>
      </c>
      <c r="J26" s="160">
        <f>IF(AND(G26&lt;10, H26&lt;10), 'SEMESTRE N°1'!AB38, IF(AND(G26&gt;=10, H26&gt;=10), G26, IF(AND(G26&gt;=10, H26&lt;10), G26, IF(AND(G26&lt;10, H26&gt;=10), G26, ""))))</f>
        <v>8.3000000000000007</v>
      </c>
      <c r="K26" s="411">
        <f>IF(AND(J26&gt;=7, J27&gt;=7), ROUND(((F26*J26) + (F27*J27)) / (F26 + F27), 2), 0)</f>
        <v>10.91</v>
      </c>
      <c r="L26" s="231">
        <f>IF(K26&gt;9.99,(F26+F27),0)</f>
        <v>5</v>
      </c>
      <c r="M26" s="254" t="str">
        <f>IF(K26&gt;9.99,"Validé","Non validé")</f>
        <v>Validé</v>
      </c>
    </row>
    <row r="27" spans="2:13">
      <c r="B27" s="234"/>
      <c r="C27" s="243"/>
      <c r="D27" s="356"/>
      <c r="E27" s="136" t="s">
        <v>70</v>
      </c>
      <c r="F27" s="9">
        <v>3</v>
      </c>
      <c r="G27" s="156">
        <f>[1]BULL_N29!G27</f>
        <v>12.649999999999999</v>
      </c>
      <c r="H27" s="359"/>
      <c r="I27" s="358"/>
      <c r="J27" s="160">
        <f>IF(AND(G27&lt;10, H26&lt;10), 'SEMESTRE N°1'!AE38, IF(AND(G27&gt;=10, H26&gt;=10), G27, IF(AND(G27&gt;=10, H26&lt;10), G27, IF(AND(G27&lt;10, H26&gt;=10), G27, ""))))</f>
        <v>12.649999999999999</v>
      </c>
      <c r="K27" s="412"/>
      <c r="L27" s="232"/>
      <c r="M27" s="255"/>
    </row>
    <row r="28" spans="2:13">
      <c r="B28" s="234"/>
      <c r="C28" s="284" t="s">
        <v>71</v>
      </c>
      <c r="D28" s="285"/>
      <c r="E28" s="284"/>
      <c r="F28" s="19">
        <f>F19+F20+F21+F22+F23+F24+F25+F26+F27</f>
        <v>30</v>
      </c>
      <c r="G28" s="3"/>
      <c r="H28" s="117">
        <f>ROUND((H19+H21+H24+H26)/4,2)</f>
        <v>4.8499999999999996</v>
      </c>
      <c r="I28" s="134">
        <f>I26+I24+I21+I19</f>
        <v>5</v>
      </c>
      <c r="J28" s="161"/>
      <c r="K28" s="163">
        <f>ROUND((K19+K21+K24+K26)/4,2)</f>
        <v>10.57</v>
      </c>
      <c r="L28" s="164">
        <f>SUM(L19:L27)</f>
        <v>30</v>
      </c>
      <c r="M28" s="162"/>
    </row>
    <row r="29" spans="2:13">
      <c r="C29" s="11"/>
      <c r="G29" s="11"/>
    </row>
    <row r="30" spans="2:13" ht="18">
      <c r="B30" s="264" t="s">
        <v>72</v>
      </c>
      <c r="C30" s="265"/>
      <c r="D30" s="21">
        <f>L28</f>
        <v>30</v>
      </c>
      <c r="E30" s="12"/>
      <c r="F30" s="13"/>
      <c r="G30" s="14"/>
      <c r="H30" s="15"/>
      <c r="I30" s="15"/>
      <c r="J30" s="158"/>
      <c r="K30" s="39" t="s">
        <v>73</v>
      </c>
      <c r="L30" s="39"/>
      <c r="M30" s="39"/>
    </row>
    <row r="31" spans="2:13">
      <c r="B31" s="266" t="s">
        <v>74</v>
      </c>
      <c r="C31" s="267"/>
      <c r="D31" s="22" t="str">
        <f>IF(D30=F28,"Semestre validé","Semestre non validé")</f>
        <v>Semestre validé</v>
      </c>
      <c r="E31" s="13"/>
      <c r="F31" s="13"/>
      <c r="G31" s="16"/>
      <c r="L31" s="13"/>
    </row>
    <row r="32" spans="2:13">
      <c r="B32" s="266" t="s">
        <v>75</v>
      </c>
      <c r="C32" s="267"/>
      <c r="D32" s="1">
        <v>0</v>
      </c>
      <c r="E32" s="13"/>
      <c r="F32" s="13"/>
      <c r="G32" s="16"/>
      <c r="H32" s="13"/>
      <c r="I32" s="13"/>
      <c r="J32" s="13"/>
    </row>
    <row r="33" spans="2:13">
      <c r="B33" s="113"/>
      <c r="C33" s="113"/>
      <c r="D33" s="1"/>
      <c r="E33" s="13"/>
      <c r="F33" s="13"/>
      <c r="G33" s="16"/>
      <c r="H33" s="13"/>
      <c r="I33" s="13"/>
      <c r="J33" s="13"/>
    </row>
    <row r="34" spans="2:13">
      <c r="C34" s="16"/>
      <c r="D34" s="13"/>
      <c r="E34" s="13"/>
      <c r="F34" s="13"/>
      <c r="G34" s="16"/>
      <c r="H34" s="13"/>
      <c r="I34" s="13"/>
      <c r="J34" s="13"/>
    </row>
    <row r="35" spans="2:13" ht="18">
      <c r="C35" s="11"/>
      <c r="G35" s="275" t="s">
        <v>76</v>
      </c>
      <c r="H35" s="275"/>
      <c r="I35" s="275"/>
      <c r="J35" s="275"/>
      <c r="K35" s="275"/>
      <c r="L35" s="275"/>
      <c r="M35" s="275"/>
    </row>
    <row r="36" spans="2:13" ht="8.4" customHeight="1">
      <c r="C36" s="11"/>
    </row>
    <row r="37" spans="2:13" ht="15" customHeight="1">
      <c r="B37" s="436" t="s">
        <v>77</v>
      </c>
      <c r="C37" s="436"/>
      <c r="D37" s="436"/>
      <c r="E37" s="436"/>
      <c r="F37" s="436"/>
      <c r="G37" s="436"/>
      <c r="H37" s="436"/>
      <c r="I37" s="436"/>
      <c r="J37" s="436"/>
      <c r="K37" s="436"/>
      <c r="L37" s="436"/>
      <c r="M37" s="436"/>
    </row>
    <row r="38" spans="2:13">
      <c r="B38" s="436"/>
      <c r="C38" s="436"/>
      <c r="D38" s="436"/>
      <c r="E38" s="436"/>
      <c r="F38" s="436"/>
      <c r="G38" s="436"/>
      <c r="H38" s="436"/>
      <c r="I38" s="436"/>
      <c r="J38" s="436"/>
      <c r="K38" s="436"/>
      <c r="L38" s="436"/>
      <c r="M38" s="436"/>
    </row>
    <row r="39" spans="2:13" hidden="1">
      <c r="B39" s="18" t="s">
        <v>78</v>
      </c>
    </row>
  </sheetData>
  <mergeCells count="57">
    <mergeCell ref="E5:M8"/>
    <mergeCell ref="M24:M25"/>
    <mergeCell ref="M26:M27"/>
    <mergeCell ref="G15:M15"/>
    <mergeCell ref="B9:M9"/>
    <mergeCell ref="J16:L16"/>
    <mergeCell ref="M16:M18"/>
    <mergeCell ref="K17:L17"/>
    <mergeCell ref="M19:M20"/>
    <mergeCell ref="M21:M23"/>
    <mergeCell ref="L21:L23"/>
    <mergeCell ref="C19:C20"/>
    <mergeCell ref="D19:D20"/>
    <mergeCell ref="H19:H20"/>
    <mergeCell ref="I19:I20"/>
    <mergeCell ref="K19:K20"/>
    <mergeCell ref="G35:M35"/>
    <mergeCell ref="C28:E28"/>
    <mergeCell ref="B30:C30"/>
    <mergeCell ref="B31:C31"/>
    <mergeCell ref="B32:C32"/>
    <mergeCell ref="B37:M38"/>
    <mergeCell ref="L26:L27"/>
    <mergeCell ref="C24:C25"/>
    <mergeCell ref="D24:D25"/>
    <mergeCell ref="H24:H25"/>
    <mergeCell ref="I24:I25"/>
    <mergeCell ref="K24:K25"/>
    <mergeCell ref="L24:L25"/>
    <mergeCell ref="C26:C27"/>
    <mergeCell ref="D26:D27"/>
    <mergeCell ref="H26:H27"/>
    <mergeCell ref="I26:I27"/>
    <mergeCell ref="K26:K27"/>
    <mergeCell ref="B17:B28"/>
    <mergeCell ref="C17:D18"/>
    <mergeCell ref="E17:E18"/>
    <mergeCell ref="C21:C23"/>
    <mergeCell ref="D21:D23"/>
    <mergeCell ref="H21:H23"/>
    <mergeCell ref="I21:I23"/>
    <mergeCell ref="K21:K23"/>
    <mergeCell ref="F17:F18"/>
    <mergeCell ref="H17:I17"/>
    <mergeCell ref="L19:L20"/>
    <mergeCell ref="C11:E11"/>
    <mergeCell ref="G11:L11"/>
    <mergeCell ref="B12:C12"/>
    <mergeCell ref="D12:E12"/>
    <mergeCell ref="G12:L12"/>
    <mergeCell ref="C13:E13"/>
    <mergeCell ref="G13:L13"/>
    <mergeCell ref="C14:E14"/>
    <mergeCell ref="G14:L14"/>
    <mergeCell ref="B15:D16"/>
    <mergeCell ref="E15:F16"/>
    <mergeCell ref="G16:I16"/>
  </mergeCells>
  <pageMargins left="0" right="0" top="0" bottom="0" header="0" footer="0"/>
  <pageSetup paperSize="9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F4957-19C0-4193-9B60-5751E8E0AF40}">
  <sheetPr codeName="Feuil32">
    <tabColor rgb="FF7030A0"/>
  </sheetPr>
  <dimension ref="B5:M39"/>
  <sheetViews>
    <sheetView showGridLines="0" view="pageLayout" topLeftCell="A10" zoomScaleNormal="100" workbookViewId="0">
      <selection activeCell="C13" sqref="C13:E13"/>
    </sheetView>
  </sheetViews>
  <sheetFormatPr baseColWidth="10" defaultColWidth="10.88671875" defaultRowHeight="14.4"/>
  <cols>
    <col min="1" max="1" width="8.44140625" style="5" customWidth="1"/>
    <col min="2" max="2" width="10.88671875" style="5"/>
    <col min="3" max="3" width="8.88671875" style="5" customWidth="1"/>
    <col min="4" max="4" width="14.33203125" style="5" customWidth="1"/>
    <col min="5" max="5" width="29.5546875" style="5" customWidth="1"/>
    <col min="6" max="6" width="10.6640625" style="5" customWidth="1"/>
    <col min="7" max="7" width="7.88671875" style="5" customWidth="1"/>
    <col min="8" max="8" width="7" style="5" customWidth="1"/>
    <col min="9" max="9" width="7.44140625" style="5" customWidth="1"/>
    <col min="10" max="12" width="8.6640625" style="5" customWidth="1"/>
    <col min="13" max="13" width="12.6640625" style="5" customWidth="1"/>
    <col min="14" max="16384" width="10.88671875" style="5"/>
  </cols>
  <sheetData>
    <row r="5" spans="2:13" ht="18" customHeight="1">
      <c r="E5" s="375" t="s">
        <v>162</v>
      </c>
      <c r="F5" s="375"/>
      <c r="G5" s="375"/>
      <c r="H5" s="375"/>
      <c r="I5" s="375"/>
      <c r="J5" s="375"/>
      <c r="K5" s="375"/>
      <c r="L5" s="375"/>
      <c r="M5" s="375"/>
    </row>
    <row r="6" spans="2:13">
      <c r="E6" s="375"/>
      <c r="F6" s="375"/>
      <c r="G6" s="375"/>
      <c r="H6" s="375"/>
      <c r="I6" s="375"/>
      <c r="J6" s="375"/>
      <c r="K6" s="375"/>
      <c r="L6" s="375"/>
      <c r="M6" s="375"/>
    </row>
    <row r="7" spans="2:13">
      <c r="E7" s="375"/>
      <c r="F7" s="375"/>
      <c r="G7" s="375"/>
      <c r="H7" s="375"/>
      <c r="I7" s="375"/>
      <c r="J7" s="375"/>
      <c r="K7" s="375"/>
      <c r="L7" s="375"/>
      <c r="M7" s="375"/>
    </row>
    <row r="8" spans="2:13">
      <c r="E8" s="376"/>
      <c r="F8" s="376"/>
      <c r="G8" s="376"/>
      <c r="H8" s="376"/>
      <c r="I8" s="376"/>
      <c r="J8" s="376"/>
      <c r="K8" s="376"/>
      <c r="L8" s="376"/>
      <c r="M8" s="376"/>
    </row>
    <row r="9" spans="2:13" ht="18" customHeight="1">
      <c r="B9" s="316" t="s">
        <v>35</v>
      </c>
      <c r="C9" s="317"/>
      <c r="D9" s="317"/>
      <c r="E9" s="317"/>
      <c r="F9" s="317"/>
      <c r="G9" s="317"/>
      <c r="H9" s="317"/>
      <c r="I9" s="317"/>
      <c r="J9" s="317"/>
      <c r="K9" s="317"/>
      <c r="L9" s="317"/>
      <c r="M9" s="318"/>
    </row>
    <row r="10" spans="2:13" ht="13.5" customHeight="1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2:13">
      <c r="B11" s="6" t="s">
        <v>36</v>
      </c>
      <c r="C11" s="292" t="str">
        <f>'SEMESTRE N°1'!A39</f>
        <v xml:space="preserve">YEMBI TSOKA Lyllian </v>
      </c>
      <c r="D11" s="292"/>
      <c r="E11" s="292"/>
      <c r="F11" s="6" t="s">
        <v>37</v>
      </c>
      <c r="G11" s="294" t="str">
        <f>B39</f>
        <v>Licence Pro. Informatique-1ère année Tronc commun</v>
      </c>
      <c r="H11" s="294"/>
      <c r="I11" s="294"/>
      <c r="J11" s="294"/>
      <c r="K11" s="294"/>
      <c r="L11" s="294"/>
    </row>
    <row r="12" spans="2:13">
      <c r="B12" s="246" t="s">
        <v>38</v>
      </c>
      <c r="C12" s="246"/>
      <c r="D12" s="305" t="str">
        <f>'SEMESTRE N°1'!B39</f>
        <v>19/11/2004</v>
      </c>
      <c r="E12" s="294"/>
      <c r="F12" s="6" t="s">
        <v>29</v>
      </c>
      <c r="G12" s="294" t="str">
        <f>'SEMESTRE N°1'!E40</f>
        <v>TC-1</v>
      </c>
      <c r="H12" s="294"/>
      <c r="I12" s="294"/>
      <c r="J12" s="294"/>
      <c r="K12" s="294"/>
      <c r="L12" s="294"/>
    </row>
    <row r="13" spans="2:13">
      <c r="B13" s="6" t="s">
        <v>39</v>
      </c>
      <c r="C13" s="291" t="str">
        <f>'SEMESTRE N°1'!C39</f>
        <v>Gabonaise</v>
      </c>
      <c r="D13" s="292"/>
      <c r="E13" s="292"/>
      <c r="F13" s="6" t="s">
        <v>40</v>
      </c>
      <c r="G13" s="249"/>
      <c r="H13" s="249"/>
      <c r="I13" s="249"/>
      <c r="J13" s="249"/>
      <c r="K13" s="249"/>
      <c r="L13" s="249"/>
    </row>
    <row r="14" spans="2:13">
      <c r="B14" s="6" t="s">
        <v>41</v>
      </c>
      <c r="C14" s="305" t="str">
        <f>'SEMESTRE N°1'!D39</f>
        <v>312024</v>
      </c>
      <c r="D14" s="294"/>
      <c r="E14" s="294"/>
      <c r="F14" s="6" t="s">
        <v>42</v>
      </c>
      <c r="G14" s="249"/>
      <c r="H14" s="249"/>
      <c r="I14" s="249"/>
      <c r="J14" s="249"/>
      <c r="K14" s="249"/>
      <c r="L14" s="249"/>
    </row>
    <row r="15" spans="2:13">
      <c r="B15" s="281" t="s">
        <v>43</v>
      </c>
      <c r="C15" s="281"/>
      <c r="D15" s="281"/>
      <c r="E15" s="282" t="s">
        <v>17</v>
      </c>
      <c r="F15" s="371"/>
      <c r="G15" s="342" t="s">
        <v>44</v>
      </c>
      <c r="H15" s="343"/>
      <c r="I15" s="343"/>
      <c r="J15" s="343"/>
      <c r="K15" s="343"/>
      <c r="L15" s="343"/>
      <c r="M15" s="344"/>
    </row>
    <row r="16" spans="2:13">
      <c r="B16" s="281"/>
      <c r="C16" s="281"/>
      <c r="D16" s="281"/>
      <c r="E16" s="282"/>
      <c r="F16" s="371"/>
      <c r="G16" s="372" t="s">
        <v>83</v>
      </c>
      <c r="H16" s="372"/>
      <c r="I16" s="372"/>
      <c r="J16" s="399" t="s">
        <v>46</v>
      </c>
      <c r="K16" s="400"/>
      <c r="L16" s="401"/>
      <c r="M16" s="439" t="s">
        <v>47</v>
      </c>
    </row>
    <row r="17" spans="2:13" ht="15" customHeight="1">
      <c r="B17" s="233" t="s">
        <v>48</v>
      </c>
      <c r="C17" s="273" t="s">
        <v>49</v>
      </c>
      <c r="D17" s="273"/>
      <c r="E17" s="272" t="s">
        <v>49</v>
      </c>
      <c r="F17" s="435" t="s">
        <v>50</v>
      </c>
      <c r="G17" s="2" t="s">
        <v>51</v>
      </c>
      <c r="H17" s="272" t="s">
        <v>52</v>
      </c>
      <c r="I17" s="272"/>
      <c r="J17" s="87" t="s">
        <v>51</v>
      </c>
      <c r="K17" s="262" t="s">
        <v>52</v>
      </c>
      <c r="L17" s="337"/>
      <c r="M17" s="440"/>
    </row>
    <row r="18" spans="2:13">
      <c r="B18" s="234"/>
      <c r="C18" s="272"/>
      <c r="D18" s="274"/>
      <c r="E18" s="272"/>
      <c r="F18" s="435"/>
      <c r="G18" s="60" t="s">
        <v>53</v>
      </c>
      <c r="H18" s="60" t="s">
        <v>53</v>
      </c>
      <c r="I18" s="60" t="s">
        <v>50</v>
      </c>
      <c r="J18" s="157" t="s">
        <v>53</v>
      </c>
      <c r="K18" s="157" t="s">
        <v>53</v>
      </c>
      <c r="L18" s="157" t="s">
        <v>50</v>
      </c>
      <c r="M18" s="441"/>
    </row>
    <row r="19" spans="2:13" ht="17.399999999999999" customHeight="1">
      <c r="B19" s="234"/>
      <c r="C19" s="243" t="s">
        <v>54</v>
      </c>
      <c r="D19" s="268" t="s">
        <v>55</v>
      </c>
      <c r="E19" s="136" t="s">
        <v>56</v>
      </c>
      <c r="F19" s="9">
        <v>3</v>
      </c>
      <c r="G19" s="156">
        <f>[1]BULL_N30!G19</f>
        <v>10.6</v>
      </c>
      <c r="H19" s="358">
        <f>IF(AND(G19&gt;=7, G20&gt;=7), ROUND(((F19*G19) + (F20*G20)) / (F19 + F20), 2), 0)</f>
        <v>12.05</v>
      </c>
      <c r="I19" s="358">
        <f>IF(H19&gt;9.99,(F19+F20),0)</f>
        <v>6</v>
      </c>
      <c r="J19" s="160">
        <f>IF(AND(G19&lt;10, H19&lt;10), 'SEMESTRE N°1'!G40, IF(AND(G19&gt;=10, H19&gt;=10), G19, IF(AND(G19&gt;=10, H19&lt;10), G19, IF(AND(G19&lt;10, H19&gt;=10), G19, ""))))</f>
        <v>10.6</v>
      </c>
      <c r="K19" s="413">
        <f>IF(AND(J19&gt;=7, J20&gt;=7), ROUND(((F19*J19) + (F20*J20)) / (F19 + F20), 2), 0)</f>
        <v>12.05</v>
      </c>
      <c r="L19" s="413">
        <f>IF(K19&gt;9.99,(F19+F20),0)</f>
        <v>6</v>
      </c>
      <c r="M19" s="263" t="str">
        <f>IF(K19&gt;9.99,"Validé","Non validé")</f>
        <v>Validé</v>
      </c>
    </row>
    <row r="20" spans="2:13" ht="18.899999999999999" customHeight="1">
      <c r="B20" s="234"/>
      <c r="C20" s="243"/>
      <c r="D20" s="269"/>
      <c r="E20" s="136" t="s">
        <v>57</v>
      </c>
      <c r="F20" s="9">
        <v>3</v>
      </c>
      <c r="G20" s="156">
        <f>[1]BULL_N30!G20</f>
        <v>13.5</v>
      </c>
      <c r="H20" s="359"/>
      <c r="I20" s="358"/>
      <c r="J20" s="160">
        <f>IF(AND(G20&lt;10, H19&lt;10), 'SEMESTRE N°1'!J40, IF(AND(G20&gt;=10, H19&gt;=10), G20, IF(AND(G20&gt;=10, H19&lt;10), G20, IF(AND(G20&lt;10, H19&gt;=10), G20, ""))))</f>
        <v>13.5</v>
      </c>
      <c r="K20" s="413"/>
      <c r="L20" s="413"/>
      <c r="M20" s="263"/>
    </row>
    <row r="21" spans="2:13" ht="14.4" customHeight="1">
      <c r="B21" s="234"/>
      <c r="C21" s="243" t="s">
        <v>58</v>
      </c>
      <c r="D21" s="268" t="s">
        <v>59</v>
      </c>
      <c r="E21" s="136" t="s">
        <v>169</v>
      </c>
      <c r="F21" s="9">
        <v>5</v>
      </c>
      <c r="G21" s="156">
        <f>[1]BULL_N30!G21</f>
        <v>12.6</v>
      </c>
      <c r="H21" s="358">
        <f>IF(AND(G21&gt;=7, G22&gt;=7, G23&gt;=7), ROUND(((F21*G21) + (F22*G22)+ (F23*G23)) / (F21 + F22+F23), 2), 0)</f>
        <v>0</v>
      </c>
      <c r="I21" s="358">
        <f>IF(H21&gt;9.99,(F21+F22+F23),0)</f>
        <v>0</v>
      </c>
      <c r="J21" s="93">
        <f>IF(AND(G21&lt;10, H21&lt;10), 'SEMESTRE N°1'!M40, IF(AND(G21&gt;=10, H21&gt;=10), G21, IF(AND(G21&gt;=10, H21&lt;10), G21, IF(AND(G21&lt;10, H21&gt;=10), G21, ""))))</f>
        <v>12.6</v>
      </c>
      <c r="K21" s="280">
        <f>IF(AND(J21&gt;=7, J22&gt;=7, J23&gt;=7), ROUND(((F21*J21) + (F22*J22)+ (F23*J23)) / (F21 + F22+F23), 2), 0)</f>
        <v>0</v>
      </c>
      <c r="L21" s="236">
        <f>IF(K21&gt;9.99,(F21+F22+F23),0)</f>
        <v>0</v>
      </c>
      <c r="M21" s="430" t="str">
        <f>IF(K21&gt;9.99,"Validé","Non validé")</f>
        <v>Non validé</v>
      </c>
    </row>
    <row r="22" spans="2:13" ht="15.6">
      <c r="B22" s="234"/>
      <c r="C22" s="243"/>
      <c r="D22" s="279"/>
      <c r="E22" s="136" t="s">
        <v>61</v>
      </c>
      <c r="F22" s="9">
        <v>3</v>
      </c>
      <c r="G22" s="156">
        <f>[1]BULL_N30!G22</f>
        <v>14.8</v>
      </c>
      <c r="H22" s="359"/>
      <c r="I22" s="358"/>
      <c r="J22" s="93">
        <f>IF(AND(G22&lt;10, H21&lt;10), 'SEMESTRE N°1'!P40, IF(AND(G22&gt;=10, H21&gt;=10), G22, IF(AND(G22&gt;=10, H21&lt;10), G22, IF(AND(G22&lt;10, H21&gt;=10), G22, ""))))</f>
        <v>14.8</v>
      </c>
      <c r="K22" s="280"/>
      <c r="L22" s="237"/>
      <c r="M22" s="431"/>
    </row>
    <row r="23" spans="2:13" ht="15" customHeight="1">
      <c r="B23" s="234"/>
      <c r="C23" s="243"/>
      <c r="D23" s="269"/>
      <c r="E23" s="136" t="s">
        <v>62</v>
      </c>
      <c r="F23" s="9">
        <v>3</v>
      </c>
      <c r="G23" s="156">
        <f>[1]BULL_N30!G23</f>
        <v>6</v>
      </c>
      <c r="H23" s="359"/>
      <c r="I23" s="358"/>
      <c r="J23" s="90">
        <f>G23</f>
        <v>6</v>
      </c>
      <c r="K23" s="280"/>
      <c r="L23" s="238"/>
      <c r="M23" s="432"/>
    </row>
    <row r="24" spans="2:13" ht="18.600000000000001" customHeight="1">
      <c r="B24" s="234"/>
      <c r="C24" s="243" t="s">
        <v>63</v>
      </c>
      <c r="D24" s="268" t="s">
        <v>64</v>
      </c>
      <c r="E24" s="136" t="s">
        <v>65</v>
      </c>
      <c r="F24" s="9">
        <v>4</v>
      </c>
      <c r="G24" s="156">
        <f>[1]BULL_N30!G24</f>
        <v>8</v>
      </c>
      <c r="H24" s="358">
        <f>IF(AND(G24&gt;=7, G25&gt;=7), ROUND(((F24*G24) + (F25*G25)) / (F24 + F25), 2), 0)</f>
        <v>11.3</v>
      </c>
      <c r="I24" s="358">
        <f>IF(H24&gt;9.99,(F24+F25),0)</f>
        <v>8</v>
      </c>
      <c r="J24" s="160">
        <f>IF(AND(G24&lt;10, H24&lt;10), 'SEMESTRE N°1'!V40, IF(AND(G24&gt;=10, H24&gt;=10), G24, IF(AND(G24&gt;=10, H24&lt;10), G24, IF(AND(G24&lt;10, H24&gt;=10), G24, ""))))</f>
        <v>8</v>
      </c>
      <c r="K24" s="411">
        <f>IF(AND(J24&gt;=7, J25&gt;=7), ROUND(((F24*J24) + (F25*J25)) / (F24 + F25), 2), 0)</f>
        <v>11.3</v>
      </c>
      <c r="L24" s="411">
        <f>IF(K24&gt;9.99,(F24+F25),0)</f>
        <v>8</v>
      </c>
      <c r="M24" s="254" t="str">
        <f>IF(K24&gt;9.99,"Validé","Non validé")</f>
        <v>Validé</v>
      </c>
    </row>
    <row r="25" spans="2:13" ht="19.5" customHeight="1">
      <c r="B25" s="234"/>
      <c r="C25" s="243"/>
      <c r="D25" s="269"/>
      <c r="E25" s="136" t="s">
        <v>66</v>
      </c>
      <c r="F25" s="9">
        <v>4</v>
      </c>
      <c r="G25" s="156">
        <f>[1]BULL_N30!G25</f>
        <v>14.600000000000001</v>
      </c>
      <c r="H25" s="359"/>
      <c r="I25" s="358"/>
      <c r="J25" s="160">
        <f>IF(AND(G25&lt;10, H24&lt;10), 'SEMESTRE N°1'!Y40, IF(AND(G25&gt;=10, H24&gt;=10), G25, IF(AND(G25&gt;=10, H24&lt;10), G25, IF(AND(G25&lt;10, H24&gt;=10), G25, ""))))</f>
        <v>14.600000000000001</v>
      </c>
      <c r="K25" s="412"/>
      <c r="L25" s="413"/>
      <c r="M25" s="255"/>
    </row>
    <row r="26" spans="2:13" ht="17.399999999999999" customHeight="1">
      <c r="B26" s="234"/>
      <c r="C26" s="243" t="s">
        <v>67</v>
      </c>
      <c r="D26" s="355" t="s">
        <v>68</v>
      </c>
      <c r="E26" s="136" t="s">
        <v>69</v>
      </c>
      <c r="F26" s="9">
        <v>2</v>
      </c>
      <c r="G26" s="156">
        <f>[1]BULL_N30!G26</f>
        <v>17.399999999999999</v>
      </c>
      <c r="H26" s="358">
        <f>IF(AND(G26&gt;=7, G27&gt;=7), ROUND(((F26*G26) + (F27*G27)) / (F26 + F27), 2), 0)</f>
        <v>16.71</v>
      </c>
      <c r="I26" s="358">
        <f>IF(H26&gt;9.99,(F26+F27),0)</f>
        <v>5</v>
      </c>
      <c r="J26" s="160">
        <f>IF(AND(G26&lt;10, H26&lt;10), 'SEMESTRE N°1'!AB40, IF(AND(G26&gt;=10, H26&gt;=10), G26, IF(AND(G26&gt;=10, H26&lt;10), G26, IF(AND(G26&lt;10, H26&gt;=10), G26, ""))))</f>
        <v>17.399999999999999</v>
      </c>
      <c r="K26" s="411">
        <f>IF(AND(J26&gt;=7, J27&gt;=7), ROUND(((F26*J26) + (F27*J27)) / (F26 + F27), 2), 0)</f>
        <v>16.71</v>
      </c>
      <c r="L26" s="231">
        <f>IF(K26&gt;9.99,(F26+F27),0)</f>
        <v>5</v>
      </c>
      <c r="M26" s="254" t="str">
        <f>IF(K26&gt;9.99,"Validé","Non validé")</f>
        <v>Validé</v>
      </c>
    </row>
    <row r="27" spans="2:13">
      <c r="B27" s="234"/>
      <c r="C27" s="243"/>
      <c r="D27" s="356"/>
      <c r="E27" s="136" t="s">
        <v>70</v>
      </c>
      <c r="F27" s="9">
        <v>3</v>
      </c>
      <c r="G27" s="156">
        <f>[1]BULL_N30!G27</f>
        <v>16.247999999999998</v>
      </c>
      <c r="H27" s="359"/>
      <c r="I27" s="358"/>
      <c r="J27" s="160">
        <f>IF(AND(G27&lt;10, H26&lt;10), 'SEMESTRE N°1'!AE40, IF(AND(G27&gt;=10, H26&gt;=10), G27, IF(AND(G27&gt;=10, H26&lt;10), G27, IF(AND(G27&lt;10, H26&gt;=10), G27, ""))))</f>
        <v>16.247999999999998</v>
      </c>
      <c r="K27" s="412"/>
      <c r="L27" s="232"/>
      <c r="M27" s="255"/>
    </row>
    <row r="28" spans="2:13">
      <c r="B28" s="234"/>
      <c r="C28" s="284" t="s">
        <v>71</v>
      </c>
      <c r="D28" s="285"/>
      <c r="E28" s="284"/>
      <c r="F28" s="19">
        <f>F19+F20+F21+F22+F23+F24+F25+F26+F27</f>
        <v>30</v>
      </c>
      <c r="G28" s="3"/>
      <c r="H28" s="117">
        <f>ROUND((H19+H21+H24+H26)/4,2)</f>
        <v>10.02</v>
      </c>
      <c r="I28" s="134">
        <f>I26+I24+I21+I19</f>
        <v>19</v>
      </c>
      <c r="J28" s="161"/>
      <c r="K28" s="163">
        <f>ROUND((K19+K21+K24+K26)/4,2)</f>
        <v>10.02</v>
      </c>
      <c r="L28" s="164">
        <f>SUM(L19:L27)</f>
        <v>19</v>
      </c>
      <c r="M28" s="162"/>
    </row>
    <row r="29" spans="2:13">
      <c r="C29" s="11"/>
      <c r="G29" s="11"/>
    </row>
    <row r="30" spans="2:13" ht="18">
      <c r="B30" s="360" t="s">
        <v>72</v>
      </c>
      <c r="C30" s="361"/>
      <c r="D30" s="21">
        <f>L28</f>
        <v>19</v>
      </c>
      <c r="E30" s="12"/>
      <c r="F30" s="13"/>
      <c r="G30" s="14"/>
      <c r="H30" s="15"/>
      <c r="I30" s="15"/>
      <c r="J30" s="330" t="s">
        <v>73</v>
      </c>
      <c r="K30" s="330"/>
      <c r="L30" s="330"/>
      <c r="M30" s="330"/>
    </row>
    <row r="31" spans="2:13">
      <c r="B31" s="360" t="s">
        <v>74</v>
      </c>
      <c r="C31" s="361"/>
      <c r="D31" s="22" t="str">
        <f>IF(D30=F28,"Semestre validé","Semestre non validé")</f>
        <v>Semestre non validé</v>
      </c>
      <c r="E31" s="13"/>
      <c r="F31" s="13"/>
      <c r="G31" s="16"/>
      <c r="L31" s="13"/>
    </row>
    <row r="32" spans="2:13">
      <c r="B32" s="360" t="s">
        <v>75</v>
      </c>
      <c r="C32" s="361"/>
      <c r="D32" s="1">
        <v>0</v>
      </c>
      <c r="E32" s="13"/>
      <c r="F32" s="13"/>
      <c r="G32" s="16"/>
      <c r="H32" s="13"/>
      <c r="I32" s="13"/>
      <c r="J32" s="13"/>
    </row>
    <row r="33" spans="2:13">
      <c r="B33" s="178"/>
      <c r="C33" s="178"/>
      <c r="D33" s="1"/>
      <c r="E33" s="13"/>
      <c r="F33" s="13"/>
      <c r="G33" s="16"/>
      <c r="H33" s="13"/>
      <c r="I33" s="13"/>
      <c r="J33" s="13"/>
    </row>
    <row r="34" spans="2:13">
      <c r="C34" s="16"/>
      <c r="D34" s="13"/>
      <c r="E34" s="13"/>
      <c r="F34" s="13"/>
      <c r="G34" s="16"/>
      <c r="H34" s="13"/>
      <c r="I34" s="13"/>
      <c r="J34" s="13"/>
    </row>
    <row r="35" spans="2:13" ht="18">
      <c r="C35" s="16"/>
      <c r="D35" s="13"/>
      <c r="E35" s="13"/>
      <c r="F35" s="13"/>
      <c r="G35" s="275" t="s">
        <v>76</v>
      </c>
      <c r="H35" s="275"/>
      <c r="I35" s="275"/>
      <c r="J35" s="275"/>
      <c r="K35" s="275"/>
      <c r="L35" s="275"/>
      <c r="M35" s="275"/>
    </row>
    <row r="36" spans="2:13" ht="14.4" customHeight="1">
      <c r="B36" s="289" t="s">
        <v>77</v>
      </c>
      <c r="C36" s="289"/>
      <c r="D36" s="289"/>
      <c r="E36" s="289"/>
      <c r="F36" s="289"/>
      <c r="G36" s="289"/>
      <c r="H36" s="289"/>
      <c r="I36" s="289"/>
      <c r="J36" s="289"/>
      <c r="K36" s="289"/>
      <c r="L36" s="289"/>
      <c r="M36" s="289"/>
    </row>
    <row r="37" spans="2:13">
      <c r="B37" s="289"/>
      <c r="C37" s="289"/>
      <c r="D37" s="289"/>
      <c r="E37" s="289"/>
      <c r="F37" s="289"/>
      <c r="G37" s="289"/>
      <c r="H37" s="289"/>
      <c r="I37" s="289"/>
      <c r="J37" s="289"/>
      <c r="K37" s="289"/>
      <c r="L37" s="289"/>
      <c r="M37" s="289"/>
    </row>
    <row r="39" spans="2:13" hidden="1">
      <c r="B39" s="18" t="s">
        <v>78</v>
      </c>
    </row>
  </sheetData>
  <mergeCells count="58">
    <mergeCell ref="B36:M37"/>
    <mergeCell ref="B9:M9"/>
    <mergeCell ref="E5:M8"/>
    <mergeCell ref="M21:M23"/>
    <mergeCell ref="M24:M25"/>
    <mergeCell ref="M26:M27"/>
    <mergeCell ref="J30:M30"/>
    <mergeCell ref="G15:M15"/>
    <mergeCell ref="J16:L16"/>
    <mergeCell ref="M16:M18"/>
    <mergeCell ref="K17:L17"/>
    <mergeCell ref="M19:M20"/>
    <mergeCell ref="C28:E28"/>
    <mergeCell ref="B30:C30"/>
    <mergeCell ref="B31:C31"/>
    <mergeCell ref="B32:C32"/>
    <mergeCell ref="B17:B28"/>
    <mergeCell ref="C17:D18"/>
    <mergeCell ref="E17:E18"/>
    <mergeCell ref="F17:F18"/>
    <mergeCell ref="H17:I17"/>
    <mergeCell ref="D21:D23"/>
    <mergeCell ref="H21:H23"/>
    <mergeCell ref="I21:I23"/>
    <mergeCell ref="H19:H20"/>
    <mergeCell ref="I19:I20"/>
    <mergeCell ref="C24:C25"/>
    <mergeCell ref="D24:D25"/>
    <mergeCell ref="H24:H25"/>
    <mergeCell ref="I24:I25"/>
    <mergeCell ref="C26:C27"/>
    <mergeCell ref="D26:D27"/>
    <mergeCell ref="K19:K20"/>
    <mergeCell ref="C21:C23"/>
    <mergeCell ref="G16:I16"/>
    <mergeCell ref="K21:K23"/>
    <mergeCell ref="G35:M35"/>
    <mergeCell ref="L19:L20"/>
    <mergeCell ref="L21:L23"/>
    <mergeCell ref="C19:C20"/>
    <mergeCell ref="D19:D20"/>
    <mergeCell ref="L26:L27"/>
    <mergeCell ref="L24:L25"/>
    <mergeCell ref="K24:K25"/>
    <mergeCell ref="H26:H27"/>
    <mergeCell ref="I26:I27"/>
    <mergeCell ref="K26:K27"/>
    <mergeCell ref="C11:E11"/>
    <mergeCell ref="G11:L11"/>
    <mergeCell ref="B12:C12"/>
    <mergeCell ref="D12:E12"/>
    <mergeCell ref="G12:L12"/>
    <mergeCell ref="C13:E13"/>
    <mergeCell ref="G13:L13"/>
    <mergeCell ref="C14:E14"/>
    <mergeCell ref="G14:L14"/>
    <mergeCell ref="B15:D16"/>
    <mergeCell ref="E15:F16"/>
  </mergeCells>
  <pageMargins left="0" right="0" top="0" bottom="0" header="0" footer="0"/>
  <pageSetup paperSize="9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B37B8-FEC7-4774-92C3-BF1CA16DCFBA}">
  <sheetPr codeName="Feuil33">
    <tabColor rgb="FF7030A0"/>
  </sheetPr>
  <dimension ref="B9:M40"/>
  <sheetViews>
    <sheetView showGridLines="0" topLeftCell="A10" workbookViewId="0">
      <selection activeCell="G17" sqref="G17"/>
    </sheetView>
  </sheetViews>
  <sheetFormatPr baseColWidth="10" defaultColWidth="10.88671875" defaultRowHeight="14.4"/>
  <cols>
    <col min="1" max="1" width="7.44140625" style="5" customWidth="1"/>
    <col min="2" max="2" width="10.88671875" style="5"/>
    <col min="3" max="3" width="8.88671875" style="5" customWidth="1"/>
    <col min="4" max="4" width="14.5546875" style="5" customWidth="1"/>
    <col min="5" max="5" width="28.88671875" style="5" customWidth="1"/>
    <col min="6" max="6" width="11.5546875" style="5" customWidth="1"/>
    <col min="7" max="7" width="7.88671875" style="5" customWidth="1"/>
    <col min="8" max="8" width="7" style="5" customWidth="1"/>
    <col min="9" max="9" width="7.44140625" style="5" customWidth="1"/>
    <col min="10" max="10" width="10.109375" style="5" customWidth="1"/>
    <col min="11" max="11" width="9.6640625" style="5" customWidth="1"/>
    <col min="12" max="12" width="9.5546875" style="5" customWidth="1"/>
    <col min="13" max="16384" width="10.88671875" style="5"/>
  </cols>
  <sheetData>
    <row r="9" spans="2:12" ht="18" customHeight="1">
      <c r="B9" s="460" t="s">
        <v>35</v>
      </c>
      <c r="C9" s="437"/>
      <c r="D9" s="437"/>
      <c r="E9" s="437"/>
      <c r="F9" s="437"/>
      <c r="G9" s="437"/>
      <c r="H9" s="437"/>
      <c r="I9" s="437"/>
      <c r="J9" s="437"/>
      <c r="K9" s="437"/>
      <c r="L9" s="438"/>
    </row>
    <row r="10" spans="2:12" s="13" customFormat="1" ht="18" customHeight="1"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</row>
    <row r="11" spans="2:12">
      <c r="B11" s="6" t="s">
        <v>36</v>
      </c>
      <c r="C11" s="291" t="str">
        <f>'SEMESTRE N°1'!A41</f>
        <v>MANIVA MAKOTY Leaticia</v>
      </c>
      <c r="D11" s="292"/>
      <c r="E11" s="292"/>
      <c r="F11" s="6" t="s">
        <v>37</v>
      </c>
      <c r="G11" s="294" t="str">
        <f>B40</f>
        <v>Licence Pro. Informatique-1ère année Tronc commun</v>
      </c>
      <c r="H11" s="294"/>
      <c r="I11" s="294"/>
      <c r="J11" s="294"/>
      <c r="K11" s="294"/>
      <c r="L11" s="294"/>
    </row>
    <row r="12" spans="2:12">
      <c r="B12" s="246" t="s">
        <v>38</v>
      </c>
      <c r="C12" s="246"/>
      <c r="D12" s="328">
        <f>'SEMESTRE N°1'!B41</f>
        <v>0</v>
      </c>
      <c r="E12" s="329"/>
      <c r="F12" s="6" t="s">
        <v>29</v>
      </c>
      <c r="G12" s="294" t="str">
        <f>'SEMESTRE N°1'!E41</f>
        <v>TC-1</v>
      </c>
      <c r="H12" s="294"/>
      <c r="I12" s="294"/>
      <c r="J12" s="294"/>
      <c r="K12" s="294"/>
      <c r="L12" s="294"/>
    </row>
    <row r="13" spans="2:12">
      <c r="B13" s="6" t="s">
        <v>39</v>
      </c>
      <c r="C13" s="291">
        <f>'SEMESTRE N°1'!C41</f>
        <v>0</v>
      </c>
      <c r="D13" s="292"/>
      <c r="E13" s="292"/>
      <c r="F13" s="6" t="s">
        <v>40</v>
      </c>
      <c r="G13" s="249"/>
      <c r="H13" s="249"/>
      <c r="I13" s="249"/>
      <c r="J13" s="249"/>
      <c r="K13" s="249"/>
      <c r="L13" s="249"/>
    </row>
    <row r="14" spans="2:12">
      <c r="B14" s="6" t="s">
        <v>41</v>
      </c>
      <c r="C14" s="294" t="str">
        <f>'SEMESTRE N°1'!D14</f>
        <v>052024</v>
      </c>
      <c r="D14" s="294"/>
      <c r="E14" s="294"/>
      <c r="F14" s="6" t="s">
        <v>42</v>
      </c>
      <c r="G14" s="249"/>
      <c r="H14" s="249"/>
      <c r="I14" s="249"/>
      <c r="J14" s="249"/>
      <c r="K14" s="249"/>
      <c r="L14" s="249"/>
    </row>
    <row r="15" spans="2:12">
      <c r="B15" s="281" t="s">
        <v>43</v>
      </c>
      <c r="C15" s="281"/>
      <c r="D15" s="281"/>
      <c r="E15" s="282" t="s">
        <v>17</v>
      </c>
      <c r="F15" s="283"/>
      <c r="G15" s="240" t="s">
        <v>44</v>
      </c>
      <c r="H15" s="240"/>
      <c r="I15" s="240"/>
      <c r="J15" s="240"/>
      <c r="K15" s="240"/>
      <c r="L15" s="240"/>
    </row>
    <row r="16" spans="2:12">
      <c r="B16" s="281"/>
      <c r="C16" s="281"/>
      <c r="D16" s="281"/>
      <c r="E16" s="282"/>
      <c r="F16" s="283"/>
      <c r="G16" s="240" t="s">
        <v>45</v>
      </c>
      <c r="H16" s="240"/>
      <c r="I16" s="240"/>
      <c r="J16" s="7" t="s">
        <v>46</v>
      </c>
      <c r="K16" s="7"/>
      <c r="L16" s="240" t="s">
        <v>47</v>
      </c>
    </row>
    <row r="17" spans="2:12">
      <c r="B17" s="233" t="s">
        <v>48</v>
      </c>
      <c r="C17" s="273" t="s">
        <v>49</v>
      </c>
      <c r="D17" s="273"/>
      <c r="E17" s="272" t="s">
        <v>49</v>
      </c>
      <c r="F17" s="272" t="s">
        <v>50</v>
      </c>
      <c r="G17" s="2" t="s">
        <v>51</v>
      </c>
      <c r="H17" s="272" t="s">
        <v>52</v>
      </c>
      <c r="I17" s="272"/>
      <c r="J17" s="272" t="s">
        <v>17</v>
      </c>
      <c r="K17" s="272"/>
      <c r="L17" s="240"/>
    </row>
    <row r="18" spans="2:12">
      <c r="B18" s="234"/>
      <c r="C18" s="272"/>
      <c r="D18" s="274"/>
      <c r="E18" s="272"/>
      <c r="F18" s="272"/>
      <c r="G18" s="60" t="s">
        <v>53</v>
      </c>
      <c r="H18" s="60" t="s">
        <v>53</v>
      </c>
      <c r="I18" s="60" t="s">
        <v>50</v>
      </c>
      <c r="J18" s="60" t="s">
        <v>53</v>
      </c>
      <c r="K18" s="60" t="s">
        <v>50</v>
      </c>
      <c r="L18" s="240"/>
    </row>
    <row r="19" spans="2:12" ht="17.399999999999999" customHeight="1">
      <c r="B19" s="234"/>
      <c r="C19" s="450" t="s">
        <v>54</v>
      </c>
      <c r="D19" s="451" t="s">
        <v>55</v>
      </c>
      <c r="E19" s="8" t="s">
        <v>56</v>
      </c>
      <c r="F19" s="9">
        <v>3</v>
      </c>
      <c r="G19" s="4">
        <f>'SEMESTRE N°1'!G41</f>
        <v>0</v>
      </c>
      <c r="H19" s="453">
        <f>ROUND((F19*G19+F20*G20)/(F19+F20),2)</f>
        <v>0</v>
      </c>
      <c r="I19" s="453">
        <f>IF(H19&gt;9.99,(F19+F20),0)</f>
        <v>0</v>
      </c>
      <c r="J19" s="10"/>
      <c r="K19" s="447"/>
      <c r="L19" s="448" t="str">
        <f>IF(H19&gt;10,"Validé","Non validé")</f>
        <v>Non validé</v>
      </c>
    </row>
    <row r="20" spans="2:12" ht="18.899999999999999" customHeight="1">
      <c r="B20" s="234"/>
      <c r="C20" s="450"/>
      <c r="D20" s="269"/>
      <c r="E20" s="8" t="s">
        <v>57</v>
      </c>
      <c r="F20" s="9">
        <v>3</v>
      </c>
      <c r="G20" s="4">
        <f>'SEMESTRE N°1'!J41</f>
        <v>0</v>
      </c>
      <c r="H20" s="454"/>
      <c r="I20" s="453"/>
      <c r="J20" s="10"/>
      <c r="K20" s="372"/>
      <c r="L20" s="449"/>
    </row>
    <row r="21" spans="2:12" ht="14.4" customHeight="1">
      <c r="B21" s="234"/>
      <c r="C21" s="455" t="s">
        <v>58</v>
      </c>
      <c r="D21" s="451" t="s">
        <v>59</v>
      </c>
      <c r="E21" s="8" t="s">
        <v>60</v>
      </c>
      <c r="F21" s="9">
        <v>5</v>
      </c>
      <c r="G21" s="4">
        <f>'SEMESTRE N°1'!M41</f>
        <v>0</v>
      </c>
      <c r="H21" s="453">
        <f>ROUND((F21*G21+F22*G22+F23*G23)/(F21+F22+F23),2)</f>
        <v>3.27</v>
      </c>
      <c r="I21" s="453">
        <f>IF(H21&gt;9.99,(F21+F22+F23),0)</f>
        <v>0</v>
      </c>
      <c r="J21" s="10"/>
      <c r="K21" s="447"/>
      <c r="L21" s="448" t="str">
        <f>IF(H21&gt;10,"Validé","Non validé")</f>
        <v>Non validé</v>
      </c>
    </row>
    <row r="22" spans="2:12">
      <c r="B22" s="234"/>
      <c r="C22" s="455"/>
      <c r="D22" s="458"/>
      <c r="E22" s="8" t="s">
        <v>61</v>
      </c>
      <c r="F22" s="9">
        <v>3</v>
      </c>
      <c r="G22" s="4">
        <f>'SEMESTRE N°1'!P41</f>
        <v>2</v>
      </c>
      <c r="H22" s="454"/>
      <c r="I22" s="453"/>
      <c r="J22" s="10"/>
      <c r="K22" s="459"/>
      <c r="L22" s="456"/>
    </row>
    <row r="23" spans="2:12" ht="15" customHeight="1">
      <c r="B23" s="234"/>
      <c r="C23" s="455"/>
      <c r="D23" s="452"/>
      <c r="E23" s="8" t="s">
        <v>62</v>
      </c>
      <c r="F23" s="9">
        <v>3</v>
      </c>
      <c r="G23" s="4">
        <f>'SEMESTRE N°1'!S41</f>
        <v>10</v>
      </c>
      <c r="H23" s="454"/>
      <c r="I23" s="453"/>
      <c r="J23" s="10"/>
      <c r="K23" s="372"/>
      <c r="L23" s="457"/>
    </row>
    <row r="24" spans="2:12" ht="18.600000000000001" customHeight="1">
      <c r="B24" s="234"/>
      <c r="C24" s="450" t="s">
        <v>63</v>
      </c>
      <c r="D24" s="451" t="s">
        <v>64</v>
      </c>
      <c r="E24" s="8" t="s">
        <v>65</v>
      </c>
      <c r="F24" s="9">
        <v>4</v>
      </c>
      <c r="G24" s="4">
        <f>'SEMESTRE N°1'!V41</f>
        <v>0</v>
      </c>
      <c r="H24" s="453">
        <f>ROUND((G24*F24+G25*F25)/(F24+F25),2)</f>
        <v>0</v>
      </c>
      <c r="I24" s="453">
        <f>IF(H24&gt;9.99,(F24+F25),0)</f>
        <v>0</v>
      </c>
      <c r="J24" s="10"/>
      <c r="K24" s="447"/>
      <c r="L24" s="448" t="str">
        <f>IF(H24&gt;9.99,"Validé","Non validé")</f>
        <v>Non validé</v>
      </c>
    </row>
    <row r="25" spans="2:12" ht="19.5" customHeight="1">
      <c r="B25" s="234"/>
      <c r="C25" s="450"/>
      <c r="D25" s="452"/>
      <c r="E25" s="8" t="s">
        <v>66</v>
      </c>
      <c r="F25" s="9">
        <v>4</v>
      </c>
      <c r="G25" s="4">
        <f>'SEMESTRE N°1'!Y41</f>
        <v>0</v>
      </c>
      <c r="H25" s="454"/>
      <c r="I25" s="453"/>
      <c r="J25" s="10"/>
      <c r="K25" s="372"/>
      <c r="L25" s="449"/>
    </row>
    <row r="26" spans="2:12" ht="17.399999999999999" customHeight="1">
      <c r="B26" s="234"/>
      <c r="C26" s="455" t="s">
        <v>67</v>
      </c>
      <c r="D26" s="451" t="s">
        <v>68</v>
      </c>
      <c r="E26" s="8" t="s">
        <v>69</v>
      </c>
      <c r="F26" s="9">
        <v>2</v>
      </c>
      <c r="G26" s="4">
        <f>'SEMESTRE N°1'!AB41</f>
        <v>0</v>
      </c>
      <c r="H26" s="453">
        <f>ROUND((G26*F26+G27*F27)/(F26+F27),2)</f>
        <v>0</v>
      </c>
      <c r="I26" s="453">
        <f>IF(H26&gt;9.99,(F26+F27),0)</f>
        <v>0</v>
      </c>
      <c r="J26" s="10"/>
      <c r="K26" s="447"/>
      <c r="L26" s="448" t="str">
        <f>IF(H26&gt;9.99,"Validé","Non validé")</f>
        <v>Non validé</v>
      </c>
    </row>
    <row r="27" spans="2:12" ht="24.6" customHeight="1">
      <c r="B27" s="234"/>
      <c r="C27" s="455"/>
      <c r="D27" s="452"/>
      <c r="E27" s="8" t="s">
        <v>70</v>
      </c>
      <c r="F27" s="9">
        <v>3</v>
      </c>
      <c r="G27" s="4">
        <f>'SEMESTRE N°1'!AE41</f>
        <v>0</v>
      </c>
      <c r="H27" s="454"/>
      <c r="I27" s="453"/>
      <c r="J27" s="10"/>
      <c r="K27" s="372"/>
      <c r="L27" s="449"/>
    </row>
    <row r="28" spans="2:12">
      <c r="B28" s="234"/>
      <c r="C28" s="284" t="s">
        <v>71</v>
      </c>
      <c r="D28" s="285"/>
      <c r="E28" s="284"/>
      <c r="F28" s="19">
        <f>F19+F20+F21+F22+F23+F24+F25+F26+F27</f>
        <v>30</v>
      </c>
      <c r="G28" s="3"/>
      <c r="H28" s="58">
        <f>ROUND((H19+H21+H24+H26)/4,2)</f>
        <v>0.82</v>
      </c>
      <c r="I28" s="20">
        <f>I26+I24+I21+I19</f>
        <v>0</v>
      </c>
      <c r="J28" s="445"/>
      <c r="K28" s="445"/>
      <c r="L28" s="446"/>
    </row>
    <row r="29" spans="2:12">
      <c r="C29" s="11"/>
      <c r="G29" s="11"/>
    </row>
    <row r="30" spans="2:12" ht="18">
      <c r="B30" s="392" t="s">
        <v>72</v>
      </c>
      <c r="C30" s="393"/>
      <c r="D30" s="21">
        <f>I19+I21+I24+I26</f>
        <v>0</v>
      </c>
      <c r="E30" s="12"/>
      <c r="F30" s="13"/>
      <c r="G30" s="14"/>
      <c r="H30" s="15"/>
      <c r="I30" s="15"/>
      <c r="J30" s="398" t="s">
        <v>73</v>
      </c>
      <c r="K30" s="398"/>
      <c r="L30" s="398"/>
    </row>
    <row r="31" spans="2:12">
      <c r="B31" s="394" t="s">
        <v>74</v>
      </c>
      <c r="C31" s="395"/>
      <c r="D31" s="22" t="str">
        <f>IF(D30=F28,"Semestre validé","Semestre non validé")</f>
        <v>Semestre non validé</v>
      </c>
      <c r="E31" s="13"/>
      <c r="F31" s="13"/>
      <c r="G31" s="16"/>
      <c r="K31" s="13"/>
      <c r="L31" s="13"/>
    </row>
    <row r="32" spans="2:12">
      <c r="B32" s="394" t="s">
        <v>75</v>
      </c>
      <c r="C32" s="395"/>
      <c r="D32" s="1">
        <v>0</v>
      </c>
      <c r="E32" s="13"/>
      <c r="F32" s="13"/>
      <c r="G32" s="16"/>
      <c r="H32" s="13"/>
      <c r="I32" s="13"/>
      <c r="J32" s="13"/>
    </row>
    <row r="33" spans="2:13">
      <c r="B33" s="59"/>
      <c r="C33" s="59"/>
      <c r="D33" s="1"/>
      <c r="E33" s="13"/>
      <c r="F33" s="13"/>
      <c r="G33" s="16"/>
      <c r="H33" s="13"/>
      <c r="I33" s="13"/>
      <c r="J33" s="13"/>
    </row>
    <row r="34" spans="2:13" ht="18">
      <c r="C34" s="16"/>
      <c r="D34" s="13"/>
      <c r="E34" s="13"/>
      <c r="F34" s="13"/>
      <c r="G34" s="444" t="s">
        <v>76</v>
      </c>
      <c r="H34" s="444"/>
      <c r="I34" s="444"/>
      <c r="J34" s="444"/>
      <c r="K34" s="444"/>
      <c r="L34" s="444"/>
      <c r="M34" s="444"/>
    </row>
    <row r="35" spans="2:13" ht="17.100000000000001" customHeight="1">
      <c r="B35" s="442" t="s">
        <v>77</v>
      </c>
      <c r="C35" s="443"/>
      <c r="D35" s="443"/>
      <c r="E35" s="443"/>
      <c r="F35" s="443"/>
      <c r="G35" s="443"/>
      <c r="H35" s="443"/>
      <c r="I35" s="443"/>
      <c r="J35" s="443"/>
      <c r="K35" s="443"/>
      <c r="L35" s="443"/>
    </row>
    <row r="36" spans="2:13">
      <c r="B36" s="443"/>
      <c r="C36" s="443"/>
      <c r="D36" s="443"/>
      <c r="E36" s="443"/>
      <c r="F36" s="443"/>
      <c r="G36" s="443"/>
      <c r="H36" s="443"/>
      <c r="I36" s="443"/>
      <c r="J36" s="443"/>
      <c r="K36" s="443"/>
      <c r="L36" s="443"/>
    </row>
    <row r="37" spans="2:13">
      <c r="C37" s="11"/>
      <c r="G37" s="11"/>
    </row>
    <row r="39" spans="2:13" ht="18">
      <c r="G39" s="35"/>
      <c r="H39" s="35"/>
      <c r="I39" s="35"/>
      <c r="J39" s="35"/>
      <c r="K39" s="35"/>
    </row>
    <row r="40" spans="2:13" hidden="1">
      <c r="B40" s="18" t="s">
        <v>78</v>
      </c>
    </row>
  </sheetData>
  <sheetProtection algorithmName="SHA-512" hashValue="jnz/pW9Qa+x9cEQPD884/r1CvaHc6Fl+bYoFMekhctfFJx3mV+9HGn+0ZVYtho3iBmXozHYUy4ty5wuPGSQFUQ==" saltValue="dk9aB9Uzm1R5X4pCtOIdew==" spinCount="100000" sheet="1" objects="1" scenarios="1"/>
  <mergeCells count="53">
    <mergeCell ref="B9:L9"/>
    <mergeCell ref="C11:E11"/>
    <mergeCell ref="G11:L11"/>
    <mergeCell ref="B12:C12"/>
    <mergeCell ref="D12:E12"/>
    <mergeCell ref="G12:L12"/>
    <mergeCell ref="C13:E13"/>
    <mergeCell ref="G13:L13"/>
    <mergeCell ref="C14:E14"/>
    <mergeCell ref="G14:L14"/>
    <mergeCell ref="B15:D16"/>
    <mergeCell ref="E15:F16"/>
    <mergeCell ref="G15:L15"/>
    <mergeCell ref="G16:I16"/>
    <mergeCell ref="L16:L18"/>
    <mergeCell ref="B17:B28"/>
    <mergeCell ref="C17:D18"/>
    <mergeCell ref="E17:E18"/>
    <mergeCell ref="F17:F18"/>
    <mergeCell ref="H17:I17"/>
    <mergeCell ref="J17:K17"/>
    <mergeCell ref="L19:L20"/>
    <mergeCell ref="L21:L23"/>
    <mergeCell ref="C19:C20"/>
    <mergeCell ref="D19:D20"/>
    <mergeCell ref="H19:H20"/>
    <mergeCell ref="I19:I20"/>
    <mergeCell ref="K19:K20"/>
    <mergeCell ref="C21:C23"/>
    <mergeCell ref="D21:D23"/>
    <mergeCell ref="H21:H23"/>
    <mergeCell ref="I21:I23"/>
    <mergeCell ref="K21:K23"/>
    <mergeCell ref="K26:K27"/>
    <mergeCell ref="L26:L27"/>
    <mergeCell ref="C24:C25"/>
    <mergeCell ref="D24:D25"/>
    <mergeCell ref="H24:H25"/>
    <mergeCell ref="I24:I25"/>
    <mergeCell ref="K24:K25"/>
    <mergeCell ref="L24:L25"/>
    <mergeCell ref="C26:C27"/>
    <mergeCell ref="D26:D27"/>
    <mergeCell ref="H26:H27"/>
    <mergeCell ref="I26:I27"/>
    <mergeCell ref="B35:L36"/>
    <mergeCell ref="G34:M34"/>
    <mergeCell ref="B32:C32"/>
    <mergeCell ref="C28:E28"/>
    <mergeCell ref="J28:L28"/>
    <mergeCell ref="B30:C30"/>
    <mergeCell ref="B31:C31"/>
    <mergeCell ref="J30:L30"/>
  </mergeCells>
  <pageMargins left="0" right="0" top="0" bottom="0" header="0" footer="0"/>
  <pageSetup paperSize="9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63879-0D8F-4932-BAA2-D17073DCFB4C}">
  <sheetPr codeName="Feuil34">
    <tabColor rgb="FF7030A0"/>
  </sheetPr>
  <dimension ref="B9:M37"/>
  <sheetViews>
    <sheetView showGridLines="0" topLeftCell="A13" workbookViewId="0">
      <selection activeCell="G17" sqref="G17"/>
    </sheetView>
  </sheetViews>
  <sheetFormatPr baseColWidth="10" defaultColWidth="10.88671875" defaultRowHeight="14.4"/>
  <cols>
    <col min="1" max="1" width="7.5546875" style="5" customWidth="1"/>
    <col min="2" max="2" width="10.88671875" style="5"/>
    <col min="3" max="3" width="8.88671875" style="5" customWidth="1"/>
    <col min="4" max="4" width="14.88671875" style="5" customWidth="1"/>
    <col min="5" max="5" width="29.109375" style="5" customWidth="1"/>
    <col min="6" max="6" width="10.5546875" style="5" customWidth="1"/>
    <col min="7" max="7" width="7.88671875" style="5" customWidth="1"/>
    <col min="8" max="8" width="7" style="5" customWidth="1"/>
    <col min="9" max="9" width="7.44140625" style="5" customWidth="1"/>
    <col min="10" max="10" width="10.109375" style="5" customWidth="1"/>
    <col min="11" max="11" width="9.6640625" style="5" customWidth="1"/>
    <col min="12" max="12" width="9.5546875" style="5" customWidth="1"/>
    <col min="13" max="16384" width="10.88671875" style="5"/>
  </cols>
  <sheetData>
    <row r="9" spans="2:12" ht="18" customHeight="1">
      <c r="B9" s="460" t="s">
        <v>35</v>
      </c>
      <c r="C9" s="437"/>
      <c r="D9" s="437"/>
      <c r="E9" s="437"/>
      <c r="F9" s="437"/>
      <c r="G9" s="437"/>
      <c r="H9" s="437"/>
      <c r="I9" s="437"/>
      <c r="J9" s="437"/>
      <c r="K9" s="437"/>
      <c r="L9" s="438"/>
    </row>
    <row r="10" spans="2:12" s="13" customFormat="1" ht="18" customHeight="1"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</row>
    <row r="11" spans="2:12">
      <c r="B11" s="6" t="s">
        <v>36</v>
      </c>
      <c r="C11" s="291" t="str">
        <f>'SEMESTRE N°1'!A42</f>
        <v>NZOUGHE PAUL ALAIN</v>
      </c>
      <c r="D11" s="292"/>
      <c r="E11" s="292"/>
      <c r="F11" s="6" t="s">
        <v>37</v>
      </c>
      <c r="G11" s="294" t="str">
        <f>B37</f>
        <v>Licence Pro. Informatique-1ère année Tronc commun</v>
      </c>
      <c r="H11" s="294"/>
      <c r="I11" s="294"/>
      <c r="J11" s="294"/>
      <c r="K11" s="294"/>
      <c r="L11" s="294"/>
    </row>
    <row r="12" spans="2:12">
      <c r="B12" s="246" t="s">
        <v>38</v>
      </c>
      <c r="C12" s="246"/>
      <c r="D12" s="329">
        <f>'SEMESTRE N°1'!B14</f>
        <v>39292</v>
      </c>
      <c r="E12" s="329"/>
      <c r="F12" s="6" t="s">
        <v>29</v>
      </c>
      <c r="G12" s="294" t="str">
        <f>'SEMESTRE N°1'!E42</f>
        <v>TC-1</v>
      </c>
      <c r="H12" s="294"/>
      <c r="I12" s="294"/>
      <c r="J12" s="294"/>
      <c r="K12" s="294"/>
      <c r="L12" s="294"/>
    </row>
    <row r="13" spans="2:12">
      <c r="B13" s="6" t="s">
        <v>39</v>
      </c>
      <c r="C13" s="291">
        <f>'SEMESTRE N°1'!C42</f>
        <v>0</v>
      </c>
      <c r="D13" s="292"/>
      <c r="E13" s="292"/>
      <c r="F13" s="6" t="s">
        <v>40</v>
      </c>
      <c r="G13" s="249"/>
      <c r="H13" s="249"/>
      <c r="I13" s="249"/>
      <c r="J13" s="249"/>
      <c r="K13" s="249"/>
      <c r="L13" s="249"/>
    </row>
    <row r="14" spans="2:12">
      <c r="B14" s="6" t="s">
        <v>41</v>
      </c>
      <c r="C14" s="305">
        <f>'SEMESTRE N°1'!D42</f>
        <v>0</v>
      </c>
      <c r="D14" s="294"/>
      <c r="E14" s="294"/>
      <c r="F14" s="6" t="s">
        <v>42</v>
      </c>
      <c r="G14" s="249"/>
      <c r="H14" s="249"/>
      <c r="I14" s="249"/>
      <c r="J14" s="249"/>
      <c r="K14" s="249"/>
      <c r="L14" s="249"/>
    </row>
    <row r="15" spans="2:12">
      <c r="B15" s="281" t="s">
        <v>43</v>
      </c>
      <c r="C15" s="281"/>
      <c r="D15" s="281"/>
      <c r="E15" s="282" t="s">
        <v>17</v>
      </c>
      <c r="F15" s="283"/>
      <c r="G15" s="240" t="s">
        <v>44</v>
      </c>
      <c r="H15" s="240"/>
      <c r="I15" s="240"/>
      <c r="J15" s="240"/>
      <c r="K15" s="240"/>
      <c r="L15" s="240"/>
    </row>
    <row r="16" spans="2:12">
      <c r="B16" s="281"/>
      <c r="C16" s="281"/>
      <c r="D16" s="281"/>
      <c r="E16" s="282"/>
      <c r="F16" s="283"/>
      <c r="G16" s="240" t="s">
        <v>45</v>
      </c>
      <c r="H16" s="240"/>
      <c r="I16" s="240"/>
      <c r="J16" s="7" t="s">
        <v>46</v>
      </c>
      <c r="K16" s="7"/>
      <c r="L16" s="240" t="s">
        <v>47</v>
      </c>
    </row>
    <row r="17" spans="2:12">
      <c r="B17" s="233" t="s">
        <v>48</v>
      </c>
      <c r="C17" s="273" t="s">
        <v>49</v>
      </c>
      <c r="D17" s="273"/>
      <c r="E17" s="272" t="s">
        <v>49</v>
      </c>
      <c r="F17" s="272" t="s">
        <v>50</v>
      </c>
      <c r="G17" s="2" t="s">
        <v>51</v>
      </c>
      <c r="H17" s="272" t="s">
        <v>52</v>
      </c>
      <c r="I17" s="272"/>
      <c r="J17" s="272" t="s">
        <v>17</v>
      </c>
      <c r="K17" s="272"/>
      <c r="L17" s="240"/>
    </row>
    <row r="18" spans="2:12">
      <c r="B18" s="234"/>
      <c r="C18" s="272"/>
      <c r="D18" s="274"/>
      <c r="E18" s="272"/>
      <c r="F18" s="272"/>
      <c r="G18" s="60" t="s">
        <v>53</v>
      </c>
      <c r="H18" s="60" t="s">
        <v>53</v>
      </c>
      <c r="I18" s="60" t="s">
        <v>50</v>
      </c>
      <c r="J18" s="60" t="s">
        <v>53</v>
      </c>
      <c r="K18" s="60" t="s">
        <v>50</v>
      </c>
      <c r="L18" s="240"/>
    </row>
    <row r="19" spans="2:12" ht="17.399999999999999" customHeight="1">
      <c r="B19" s="234"/>
      <c r="C19" s="450" t="s">
        <v>54</v>
      </c>
      <c r="D19" s="451" t="s">
        <v>55</v>
      </c>
      <c r="E19" s="8" t="s">
        <v>56</v>
      </c>
      <c r="F19" s="9">
        <v>3</v>
      </c>
      <c r="G19" s="4">
        <f>'SEMESTRE N°1'!G42</f>
        <v>0</v>
      </c>
      <c r="H19" s="453">
        <f>ROUND((F19*G19+F20*G20)/(F19+F20),2)</f>
        <v>0</v>
      </c>
      <c r="I19" s="453">
        <f>IF(H19&gt;9.99,(F19+F20),0)</f>
        <v>0</v>
      </c>
      <c r="J19" s="10"/>
      <c r="K19" s="447"/>
      <c r="L19" s="448" t="str">
        <f>IF(H19&gt;10,"Validé","Non validé")</f>
        <v>Non validé</v>
      </c>
    </row>
    <row r="20" spans="2:12" ht="18.899999999999999" customHeight="1">
      <c r="B20" s="234"/>
      <c r="C20" s="450"/>
      <c r="D20" s="424"/>
      <c r="E20" s="8" t="s">
        <v>57</v>
      </c>
      <c r="F20" s="9">
        <v>3</v>
      </c>
      <c r="G20" s="4">
        <f>'SEMESTRE N°1'!J42</f>
        <v>0</v>
      </c>
      <c r="H20" s="454"/>
      <c r="I20" s="453"/>
      <c r="J20" s="10"/>
      <c r="K20" s="372"/>
      <c r="L20" s="449"/>
    </row>
    <row r="21" spans="2:12">
      <c r="B21" s="234"/>
      <c r="C21" s="455" t="s">
        <v>58</v>
      </c>
      <c r="D21" s="451" t="s">
        <v>59</v>
      </c>
      <c r="E21" s="8" t="s">
        <v>60</v>
      </c>
      <c r="F21" s="9">
        <v>5</v>
      </c>
      <c r="G21" s="4">
        <f>'SEMESTRE N°1'!M42</f>
        <v>0</v>
      </c>
      <c r="H21" s="453">
        <f>ROUND((F21*G21+F22*G22+F23*G23)/(F21+F22+F23),2)</f>
        <v>4.91</v>
      </c>
      <c r="I21" s="453">
        <f>IF(H21&gt;9.99,(F21+F22+F23),0)</f>
        <v>0</v>
      </c>
      <c r="J21" s="10"/>
      <c r="K21" s="447"/>
      <c r="L21" s="448" t="str">
        <f>IF(H21&gt;10,"Validé","Non validé")</f>
        <v>Non validé</v>
      </c>
    </row>
    <row r="22" spans="2:12">
      <c r="B22" s="234"/>
      <c r="C22" s="455"/>
      <c r="D22" s="458"/>
      <c r="E22" s="8" t="s">
        <v>61</v>
      </c>
      <c r="F22" s="9">
        <v>3</v>
      </c>
      <c r="G22" s="4">
        <f>'SEMESTRE N°1'!P42</f>
        <v>13</v>
      </c>
      <c r="H22" s="454"/>
      <c r="I22" s="453"/>
      <c r="J22" s="10"/>
      <c r="K22" s="459"/>
      <c r="L22" s="456"/>
    </row>
    <row r="23" spans="2:12" ht="15" customHeight="1">
      <c r="B23" s="234"/>
      <c r="C23" s="455"/>
      <c r="D23" s="462"/>
      <c r="E23" s="8" t="s">
        <v>62</v>
      </c>
      <c r="F23" s="9">
        <v>3</v>
      </c>
      <c r="G23" s="4">
        <f>'SEMESTRE N°1'!S42</f>
        <v>5</v>
      </c>
      <c r="H23" s="454"/>
      <c r="I23" s="453"/>
      <c r="J23" s="10"/>
      <c r="K23" s="372"/>
      <c r="L23" s="457"/>
    </row>
    <row r="24" spans="2:12" ht="18.600000000000001" customHeight="1">
      <c r="B24" s="234"/>
      <c r="C24" s="450" t="s">
        <v>63</v>
      </c>
      <c r="D24" s="451" t="s">
        <v>64</v>
      </c>
      <c r="E24" s="8" t="s">
        <v>65</v>
      </c>
      <c r="F24" s="9">
        <v>4</v>
      </c>
      <c r="G24" s="4">
        <f>'SEMESTRE N°1'!V42</f>
        <v>0</v>
      </c>
      <c r="H24" s="453">
        <f>ROUND((G24*F24+G25*F25)/(F24+F25),2)</f>
        <v>0</v>
      </c>
      <c r="I24" s="453">
        <f>IF(H24&gt;9.99,(F24+F25),0)</f>
        <v>0</v>
      </c>
      <c r="J24" s="10"/>
      <c r="K24" s="447"/>
      <c r="L24" s="448" t="str">
        <f>IF(H24&gt;9.99,"Validé","Non validé")</f>
        <v>Non validé</v>
      </c>
    </row>
    <row r="25" spans="2:12" ht="19.5" customHeight="1">
      <c r="B25" s="234"/>
      <c r="C25" s="450"/>
      <c r="D25" s="452"/>
      <c r="E25" s="8" t="s">
        <v>66</v>
      </c>
      <c r="F25" s="9">
        <v>4</v>
      </c>
      <c r="G25" s="4">
        <f>'SEMESTRE N°1'!Y42</f>
        <v>0</v>
      </c>
      <c r="H25" s="454"/>
      <c r="I25" s="453"/>
      <c r="J25" s="10"/>
      <c r="K25" s="372"/>
      <c r="L25" s="449"/>
    </row>
    <row r="26" spans="2:12" ht="17.399999999999999" customHeight="1">
      <c r="B26" s="234"/>
      <c r="C26" s="455" t="s">
        <v>67</v>
      </c>
      <c r="D26" s="451" t="s">
        <v>68</v>
      </c>
      <c r="E26" s="8" t="s">
        <v>69</v>
      </c>
      <c r="F26" s="9">
        <v>2</v>
      </c>
      <c r="G26" s="4">
        <f>'SEMESTRE N°1'!AB42</f>
        <v>0</v>
      </c>
      <c r="H26" s="453">
        <f>ROUND((G26*F26+G27*F27)/(F26+F27),2)</f>
        <v>0</v>
      </c>
      <c r="I26" s="453">
        <f>IF(H26&gt;9.99,(F26+F27),0)</f>
        <v>0</v>
      </c>
      <c r="J26" s="10"/>
      <c r="K26" s="447"/>
      <c r="L26" s="448" t="str">
        <f>IF(H26&gt;9.99,"Validé","Non validé")</f>
        <v>Non validé</v>
      </c>
    </row>
    <row r="27" spans="2:12" ht="24.6" customHeight="1">
      <c r="B27" s="234"/>
      <c r="C27" s="455"/>
      <c r="D27" s="452"/>
      <c r="E27" s="8" t="s">
        <v>70</v>
      </c>
      <c r="F27" s="9">
        <v>3</v>
      </c>
      <c r="G27" s="4">
        <f>'SEMESTRE N°1'!AE42</f>
        <v>0</v>
      </c>
      <c r="H27" s="454"/>
      <c r="I27" s="453"/>
      <c r="J27" s="10"/>
      <c r="K27" s="372"/>
      <c r="L27" s="449"/>
    </row>
    <row r="28" spans="2:12">
      <c r="B28" s="234"/>
      <c r="C28" s="284" t="s">
        <v>71</v>
      </c>
      <c r="D28" s="285"/>
      <c r="E28" s="284"/>
      <c r="F28" s="19">
        <f>F19+F20+F21+F22+F23+F24+F25+F26+F27</f>
        <v>30</v>
      </c>
      <c r="G28" s="3"/>
      <c r="H28" s="58">
        <f>ROUND((H19+H21+H24+H26)/4,2)</f>
        <v>1.23</v>
      </c>
      <c r="I28" s="20">
        <f>I26+I24+I21+I19</f>
        <v>0</v>
      </c>
      <c r="J28" s="445"/>
      <c r="K28" s="445"/>
      <c r="L28" s="446"/>
    </row>
    <row r="29" spans="2:12">
      <c r="C29" s="11"/>
      <c r="G29" s="11"/>
    </row>
    <row r="30" spans="2:12" ht="18">
      <c r="B30" s="392" t="s">
        <v>72</v>
      </c>
      <c r="C30" s="393"/>
      <c r="D30" s="21">
        <f>I19+I21+I24+I26</f>
        <v>0</v>
      </c>
      <c r="E30" s="12"/>
      <c r="F30" s="13"/>
      <c r="G30" s="14"/>
      <c r="H30" s="15"/>
      <c r="I30" s="15"/>
      <c r="J30" s="398" t="s">
        <v>73</v>
      </c>
      <c r="K30" s="398"/>
      <c r="L30" s="398"/>
    </row>
    <row r="31" spans="2:12">
      <c r="B31" s="394" t="s">
        <v>74</v>
      </c>
      <c r="C31" s="395"/>
      <c r="D31" s="22" t="str">
        <f>IF(D30=F28,"Semestre validé","Semestre non validé")</f>
        <v>Semestre non validé</v>
      </c>
      <c r="E31" s="13"/>
      <c r="F31" s="13"/>
      <c r="G31" s="16"/>
      <c r="K31" s="13"/>
      <c r="L31" s="13"/>
    </row>
    <row r="32" spans="2:12">
      <c r="B32" s="394" t="s">
        <v>75</v>
      </c>
      <c r="C32" s="395"/>
      <c r="D32" s="1">
        <v>0</v>
      </c>
      <c r="E32" s="13"/>
      <c r="F32" s="13"/>
      <c r="G32" s="16"/>
      <c r="H32" s="13"/>
      <c r="I32" s="13"/>
      <c r="J32" s="13"/>
    </row>
    <row r="33" spans="2:13">
      <c r="C33" s="16"/>
      <c r="D33" s="13"/>
      <c r="E33" s="13"/>
      <c r="F33" s="13"/>
      <c r="G33" s="16"/>
      <c r="H33" s="13"/>
      <c r="I33" s="13"/>
      <c r="J33" s="13"/>
    </row>
    <row r="34" spans="2:13" ht="18">
      <c r="C34" s="11"/>
      <c r="G34" s="461" t="s">
        <v>76</v>
      </c>
      <c r="H34" s="461"/>
      <c r="I34" s="461"/>
      <c r="J34" s="461"/>
      <c r="K34" s="461"/>
      <c r="L34" s="461"/>
      <c r="M34" s="461"/>
    </row>
    <row r="35" spans="2:13">
      <c r="B35" s="442" t="s">
        <v>77</v>
      </c>
      <c r="C35" s="443"/>
      <c r="D35" s="443"/>
      <c r="E35" s="443"/>
      <c r="F35" s="443"/>
      <c r="G35" s="443"/>
      <c r="H35" s="443"/>
      <c r="I35" s="443"/>
      <c r="J35" s="443"/>
      <c r="K35" s="443"/>
      <c r="L35" s="443"/>
    </row>
    <row r="36" spans="2:13">
      <c r="B36" s="443"/>
      <c r="C36" s="443"/>
      <c r="D36" s="443"/>
      <c r="E36" s="443"/>
      <c r="F36" s="443"/>
      <c r="G36" s="443"/>
      <c r="H36" s="443"/>
      <c r="I36" s="443"/>
      <c r="J36" s="443"/>
      <c r="K36" s="443"/>
      <c r="L36" s="443"/>
    </row>
    <row r="37" spans="2:13" hidden="1">
      <c r="B37" s="18" t="s">
        <v>78</v>
      </c>
    </row>
  </sheetData>
  <sheetProtection sheet="1" objects="1" scenarios="1"/>
  <mergeCells count="53">
    <mergeCell ref="B9:L9"/>
    <mergeCell ref="C11:E11"/>
    <mergeCell ref="G11:L11"/>
    <mergeCell ref="B12:C12"/>
    <mergeCell ref="D12:E12"/>
    <mergeCell ref="G12:L12"/>
    <mergeCell ref="C13:E13"/>
    <mergeCell ref="G13:L13"/>
    <mergeCell ref="C14:E14"/>
    <mergeCell ref="G14:L14"/>
    <mergeCell ref="B15:D16"/>
    <mergeCell ref="E15:F16"/>
    <mergeCell ref="G15:L15"/>
    <mergeCell ref="G16:I16"/>
    <mergeCell ref="L16:L18"/>
    <mergeCell ref="B17:B28"/>
    <mergeCell ref="C17:D18"/>
    <mergeCell ref="E17:E18"/>
    <mergeCell ref="F17:F18"/>
    <mergeCell ref="H17:I17"/>
    <mergeCell ref="J17:K17"/>
    <mergeCell ref="L19:L20"/>
    <mergeCell ref="L21:L23"/>
    <mergeCell ref="C19:C20"/>
    <mergeCell ref="D19:D20"/>
    <mergeCell ref="H19:H20"/>
    <mergeCell ref="I19:I20"/>
    <mergeCell ref="K19:K20"/>
    <mergeCell ref="C21:C23"/>
    <mergeCell ref="D21:D23"/>
    <mergeCell ref="H21:H23"/>
    <mergeCell ref="I21:I23"/>
    <mergeCell ref="K21:K23"/>
    <mergeCell ref="K26:K27"/>
    <mergeCell ref="L26:L27"/>
    <mergeCell ref="C24:C25"/>
    <mergeCell ref="D24:D25"/>
    <mergeCell ref="H24:H25"/>
    <mergeCell ref="I24:I25"/>
    <mergeCell ref="K24:K25"/>
    <mergeCell ref="L24:L25"/>
    <mergeCell ref="C26:C27"/>
    <mergeCell ref="D26:D27"/>
    <mergeCell ref="H26:H27"/>
    <mergeCell ref="I26:I27"/>
    <mergeCell ref="G34:M34"/>
    <mergeCell ref="B35:L36"/>
    <mergeCell ref="B32:C32"/>
    <mergeCell ref="C28:E28"/>
    <mergeCell ref="J28:L28"/>
    <mergeCell ref="B30:C30"/>
    <mergeCell ref="B31:C31"/>
    <mergeCell ref="J30:L30"/>
  </mergeCells>
  <pageMargins left="0" right="0" top="0" bottom="0" header="0" footer="0"/>
  <pageSetup paperSize="9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8DCCE-9B1C-43D3-B3BA-0CCC59F995FD}">
  <sheetPr codeName="Feuil35">
    <tabColor rgb="FF7030A0"/>
  </sheetPr>
  <dimension ref="B9:M37"/>
  <sheetViews>
    <sheetView showGridLines="0" topLeftCell="A7" workbookViewId="0">
      <selection activeCell="G17" sqref="G17"/>
    </sheetView>
  </sheetViews>
  <sheetFormatPr baseColWidth="10" defaultColWidth="10.88671875" defaultRowHeight="14.4"/>
  <cols>
    <col min="1" max="1" width="7.5546875" style="5" customWidth="1"/>
    <col min="2" max="2" width="10.88671875" style="5"/>
    <col min="3" max="3" width="8.88671875" style="5" customWidth="1"/>
    <col min="4" max="4" width="15.109375" style="5" customWidth="1"/>
    <col min="5" max="5" width="29" style="5" customWidth="1"/>
    <col min="6" max="6" width="10.109375" style="5" customWidth="1"/>
    <col min="7" max="7" width="7.88671875" style="5" customWidth="1"/>
    <col min="8" max="8" width="7" style="5" customWidth="1"/>
    <col min="9" max="9" width="7.44140625" style="5" customWidth="1"/>
    <col min="10" max="10" width="10.109375" style="5" customWidth="1"/>
    <col min="11" max="11" width="9.6640625" style="5" customWidth="1"/>
    <col min="12" max="12" width="9.5546875" style="5" customWidth="1"/>
    <col min="13" max="16384" width="10.88671875" style="5"/>
  </cols>
  <sheetData>
    <row r="9" spans="2:12" ht="18" customHeight="1">
      <c r="B9" s="460" t="s">
        <v>35</v>
      </c>
      <c r="C9" s="437"/>
      <c r="D9" s="437"/>
      <c r="E9" s="437"/>
      <c r="F9" s="437"/>
      <c r="G9" s="437"/>
      <c r="H9" s="437"/>
      <c r="I9" s="437"/>
      <c r="J9" s="437"/>
      <c r="K9" s="437"/>
      <c r="L9" s="438"/>
    </row>
    <row r="10" spans="2:12" s="13" customFormat="1" ht="18" customHeight="1"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</row>
    <row r="11" spans="2:12" ht="27.6">
      <c r="B11" s="6" t="s">
        <v>36</v>
      </c>
      <c r="C11" s="291">
        <f>'SEMESTRE N°1'!A43</f>
        <v>0</v>
      </c>
      <c r="D11" s="292"/>
      <c r="E11" s="292"/>
      <c r="F11" s="6" t="s">
        <v>37</v>
      </c>
      <c r="G11" s="294" t="str">
        <f>B37</f>
        <v>Licence Pro. Informatique-1ère année Tronc commun</v>
      </c>
      <c r="H11" s="294"/>
      <c r="I11" s="294"/>
      <c r="J11" s="294"/>
      <c r="K11" s="294"/>
      <c r="L11" s="294"/>
    </row>
    <row r="12" spans="2:12">
      <c r="B12" s="246" t="s">
        <v>38</v>
      </c>
      <c r="C12" s="246"/>
      <c r="D12" s="328">
        <f>'SEMESTRE N°1'!B43</f>
        <v>0</v>
      </c>
      <c r="E12" s="329"/>
      <c r="F12" s="6" t="s">
        <v>29</v>
      </c>
      <c r="G12" s="294" t="str">
        <f>'SEMESTRE N°1'!E43</f>
        <v>TC-1</v>
      </c>
      <c r="H12" s="294"/>
      <c r="I12" s="294"/>
      <c r="J12" s="294"/>
      <c r="K12" s="294"/>
      <c r="L12" s="294"/>
    </row>
    <row r="13" spans="2:12">
      <c r="B13" s="6" t="s">
        <v>39</v>
      </c>
      <c r="C13" s="291">
        <f>'SEMESTRE N°1'!C43</f>
        <v>0</v>
      </c>
      <c r="D13" s="292"/>
      <c r="E13" s="292"/>
      <c r="F13" s="6" t="s">
        <v>40</v>
      </c>
      <c r="G13" s="249"/>
      <c r="H13" s="249"/>
      <c r="I13" s="249"/>
      <c r="J13" s="249"/>
      <c r="K13" s="249"/>
      <c r="L13" s="249"/>
    </row>
    <row r="14" spans="2:12" ht="27.6">
      <c r="B14" s="6" t="s">
        <v>41</v>
      </c>
      <c r="C14" s="305">
        <f>'SEMESTRE N°1'!D43</f>
        <v>0</v>
      </c>
      <c r="D14" s="294"/>
      <c r="E14" s="294"/>
      <c r="F14" s="6" t="s">
        <v>42</v>
      </c>
      <c r="G14" s="249"/>
      <c r="H14" s="249"/>
      <c r="I14" s="249"/>
      <c r="J14" s="249"/>
      <c r="K14" s="249"/>
      <c r="L14" s="249"/>
    </row>
    <row r="15" spans="2:12">
      <c r="B15" s="281" t="s">
        <v>43</v>
      </c>
      <c r="C15" s="281"/>
      <c r="D15" s="281"/>
      <c r="E15" s="282" t="s">
        <v>17</v>
      </c>
      <c r="F15" s="283"/>
      <c r="G15" s="240" t="s">
        <v>44</v>
      </c>
      <c r="H15" s="240"/>
      <c r="I15" s="240"/>
      <c r="J15" s="240"/>
      <c r="K15" s="240"/>
      <c r="L15" s="240"/>
    </row>
    <row r="16" spans="2:12">
      <c r="B16" s="281"/>
      <c r="C16" s="281"/>
      <c r="D16" s="281"/>
      <c r="E16" s="282"/>
      <c r="F16" s="283"/>
      <c r="G16" s="240" t="s">
        <v>45</v>
      </c>
      <c r="H16" s="240"/>
      <c r="I16" s="240"/>
      <c r="J16" s="7" t="s">
        <v>46</v>
      </c>
      <c r="K16" s="7"/>
      <c r="L16" s="240" t="s">
        <v>47</v>
      </c>
    </row>
    <row r="17" spans="2:12">
      <c r="B17" s="233" t="s">
        <v>48</v>
      </c>
      <c r="C17" s="273" t="s">
        <v>49</v>
      </c>
      <c r="D17" s="273"/>
      <c r="E17" s="272" t="s">
        <v>49</v>
      </c>
      <c r="F17" s="272" t="s">
        <v>50</v>
      </c>
      <c r="G17" s="2" t="s">
        <v>51</v>
      </c>
      <c r="H17" s="272" t="s">
        <v>52</v>
      </c>
      <c r="I17" s="272"/>
      <c r="J17" s="272" t="s">
        <v>17</v>
      </c>
      <c r="K17" s="272"/>
      <c r="L17" s="240"/>
    </row>
    <row r="18" spans="2:12">
      <c r="B18" s="234"/>
      <c r="C18" s="272"/>
      <c r="D18" s="274"/>
      <c r="E18" s="272"/>
      <c r="F18" s="272"/>
      <c r="G18" s="60" t="s">
        <v>53</v>
      </c>
      <c r="H18" s="60" t="s">
        <v>53</v>
      </c>
      <c r="I18" s="60" t="s">
        <v>50</v>
      </c>
      <c r="J18" s="60" t="s">
        <v>53</v>
      </c>
      <c r="K18" s="60" t="s">
        <v>50</v>
      </c>
      <c r="L18" s="240"/>
    </row>
    <row r="19" spans="2:12" ht="17.399999999999999" customHeight="1">
      <c r="B19" s="234"/>
      <c r="C19" s="450" t="s">
        <v>54</v>
      </c>
      <c r="D19" s="451" t="s">
        <v>55</v>
      </c>
      <c r="E19" s="8" t="s">
        <v>56</v>
      </c>
      <c r="F19" s="9">
        <v>3</v>
      </c>
      <c r="G19" s="4">
        <f>'SEMESTRE N°1'!G43</f>
        <v>0</v>
      </c>
      <c r="H19" s="453">
        <f>ROUND((F19*G19+F20*G20)/(F19+F20),2)</f>
        <v>0</v>
      </c>
      <c r="I19" s="453">
        <f>IF(H19&gt;9.99,(F19+F20),0)</f>
        <v>0</v>
      </c>
      <c r="J19" s="10"/>
      <c r="K19" s="447"/>
      <c r="L19" s="448" t="str">
        <f>IF(H19&gt;10,"Validé","Non validé")</f>
        <v>Non validé</v>
      </c>
    </row>
    <row r="20" spans="2:12" ht="18.899999999999999" customHeight="1">
      <c r="B20" s="234"/>
      <c r="C20" s="450"/>
      <c r="D20" s="269"/>
      <c r="E20" s="8" t="s">
        <v>57</v>
      </c>
      <c r="F20" s="9">
        <v>3</v>
      </c>
      <c r="G20" s="4">
        <f>'SEMESTRE N°1'!J43</f>
        <v>0</v>
      </c>
      <c r="H20" s="454"/>
      <c r="I20" s="453"/>
      <c r="J20" s="10"/>
      <c r="K20" s="372"/>
      <c r="L20" s="449"/>
    </row>
    <row r="21" spans="2:12">
      <c r="B21" s="234"/>
      <c r="C21" s="455" t="s">
        <v>58</v>
      </c>
      <c r="D21" s="451" t="s">
        <v>59</v>
      </c>
      <c r="E21" s="8" t="s">
        <v>60</v>
      </c>
      <c r="F21" s="9">
        <v>5</v>
      </c>
      <c r="G21" s="4">
        <f>'SEMESTRE N°1'!M43</f>
        <v>0</v>
      </c>
      <c r="H21" s="453">
        <f>ROUND((F21*G21+F22*G22+F23*G23)/(F21+F22+F23),2)</f>
        <v>0</v>
      </c>
      <c r="I21" s="453">
        <f>IF(H21&gt;9.99,(F21+F22+F23),0)</f>
        <v>0</v>
      </c>
      <c r="J21" s="10"/>
      <c r="K21" s="447"/>
      <c r="L21" s="448" t="str">
        <f>IF(H21&gt;10,"Validé","Non validé")</f>
        <v>Non validé</v>
      </c>
    </row>
    <row r="22" spans="2:12">
      <c r="B22" s="234"/>
      <c r="C22" s="455"/>
      <c r="D22" s="458"/>
      <c r="E22" s="8" t="s">
        <v>61</v>
      </c>
      <c r="F22" s="9">
        <v>3</v>
      </c>
      <c r="G22" s="4">
        <f>'SEMESTRE N°1'!P43</f>
        <v>0</v>
      </c>
      <c r="H22" s="454"/>
      <c r="I22" s="453"/>
      <c r="J22" s="10"/>
      <c r="K22" s="459"/>
      <c r="L22" s="456"/>
    </row>
    <row r="23" spans="2:12" ht="15" customHeight="1">
      <c r="B23" s="234"/>
      <c r="C23" s="455"/>
      <c r="D23" s="452"/>
      <c r="E23" s="8" t="s">
        <v>62</v>
      </c>
      <c r="F23" s="9">
        <v>3</v>
      </c>
      <c r="G23" s="4">
        <f>'SEMESTRE N°1'!S43</f>
        <v>0</v>
      </c>
      <c r="H23" s="454"/>
      <c r="I23" s="453"/>
      <c r="J23" s="10"/>
      <c r="K23" s="372"/>
      <c r="L23" s="457"/>
    </row>
    <row r="24" spans="2:12" ht="18.600000000000001" customHeight="1">
      <c r="B24" s="234"/>
      <c r="C24" s="450" t="s">
        <v>63</v>
      </c>
      <c r="D24" s="451" t="s">
        <v>64</v>
      </c>
      <c r="E24" s="8" t="s">
        <v>65</v>
      </c>
      <c r="F24" s="9">
        <v>4</v>
      </c>
      <c r="G24" s="4">
        <f>'SEMESTRE N°1'!V43</f>
        <v>0</v>
      </c>
      <c r="H24" s="453">
        <f>ROUND((G24*F24+G25*F25)/(F24+F25),2)</f>
        <v>0</v>
      </c>
      <c r="I24" s="453">
        <f>IF(H24&gt;9.99,(F24+F25),0)</f>
        <v>0</v>
      </c>
      <c r="J24" s="10"/>
      <c r="K24" s="447"/>
      <c r="L24" s="448" t="str">
        <f>IF(H24&gt;9.99,"Validé","Non validé")</f>
        <v>Non validé</v>
      </c>
    </row>
    <row r="25" spans="2:12" ht="19.5" customHeight="1">
      <c r="B25" s="234"/>
      <c r="C25" s="450"/>
      <c r="D25" s="452"/>
      <c r="E25" s="8" t="s">
        <v>66</v>
      </c>
      <c r="F25" s="9">
        <v>4</v>
      </c>
      <c r="G25" s="4">
        <f>'SEMESTRE N°1'!Y43</f>
        <v>0</v>
      </c>
      <c r="H25" s="454"/>
      <c r="I25" s="453"/>
      <c r="J25" s="10"/>
      <c r="K25" s="372"/>
      <c r="L25" s="449"/>
    </row>
    <row r="26" spans="2:12" ht="17.399999999999999" customHeight="1">
      <c r="B26" s="234"/>
      <c r="C26" s="455" t="s">
        <v>67</v>
      </c>
      <c r="D26" s="451" t="s">
        <v>68</v>
      </c>
      <c r="E26" s="8" t="s">
        <v>69</v>
      </c>
      <c r="F26" s="9">
        <v>2</v>
      </c>
      <c r="G26" s="4">
        <f>'SEMESTRE N°1'!AB43</f>
        <v>0</v>
      </c>
      <c r="H26" s="453">
        <f>ROUND((G26*F26+G27*F27)/(F26+F27),2)</f>
        <v>0</v>
      </c>
      <c r="I26" s="453">
        <f>IF(H26&gt;9.99,(F26+F27),0)</f>
        <v>0</v>
      </c>
      <c r="J26" s="10"/>
      <c r="K26" s="447"/>
      <c r="L26" s="448" t="str">
        <f>IF(H26&gt;9.99,"Validé","Non validé")</f>
        <v>Non validé</v>
      </c>
    </row>
    <row r="27" spans="2:12" ht="24.6" customHeight="1">
      <c r="B27" s="234"/>
      <c r="C27" s="455"/>
      <c r="D27" s="452"/>
      <c r="E27" s="8" t="s">
        <v>70</v>
      </c>
      <c r="F27" s="9">
        <v>3</v>
      </c>
      <c r="G27" s="4">
        <f>'SEMESTRE N°1'!AE43</f>
        <v>0</v>
      </c>
      <c r="H27" s="454"/>
      <c r="I27" s="453"/>
      <c r="J27" s="10"/>
      <c r="K27" s="372"/>
      <c r="L27" s="449"/>
    </row>
    <row r="28" spans="2:12">
      <c r="B28" s="234"/>
      <c r="C28" s="284" t="s">
        <v>71</v>
      </c>
      <c r="D28" s="285"/>
      <c r="E28" s="284"/>
      <c r="F28" s="19">
        <f>F19+F20+F21+F22+F23+F24+F25+F26+F27</f>
        <v>30</v>
      </c>
      <c r="G28" s="3"/>
      <c r="H28" s="58">
        <f>ROUND((H19+H21+H24+H26)/4,2)</f>
        <v>0</v>
      </c>
      <c r="I28" s="20">
        <f>I26+I24+I21+I19</f>
        <v>0</v>
      </c>
      <c r="J28" s="445"/>
      <c r="K28" s="445"/>
      <c r="L28" s="446"/>
    </row>
    <row r="29" spans="2:12">
      <c r="C29" s="11"/>
      <c r="G29" s="11"/>
    </row>
    <row r="30" spans="2:12" ht="12.75" customHeight="1">
      <c r="B30" s="392" t="s">
        <v>72</v>
      </c>
      <c r="C30" s="393"/>
      <c r="D30" s="21">
        <f>I19+I21+I24+I26</f>
        <v>0</v>
      </c>
      <c r="E30" s="12"/>
      <c r="F30" s="13"/>
      <c r="G30" s="14"/>
      <c r="H30" s="15"/>
      <c r="I30" s="15"/>
      <c r="J30" s="398" t="s">
        <v>73</v>
      </c>
      <c r="K30" s="398"/>
      <c r="L30" s="398"/>
    </row>
    <row r="31" spans="2:12">
      <c r="B31" s="394" t="s">
        <v>74</v>
      </c>
      <c r="C31" s="395"/>
      <c r="D31" s="22" t="str">
        <f>IF(D30=F28,"Semestre validé","Semestre non validé")</f>
        <v>Semestre non validé</v>
      </c>
      <c r="E31" s="13"/>
      <c r="F31" s="13"/>
      <c r="G31" s="16"/>
      <c r="K31" s="13"/>
      <c r="L31" s="13"/>
    </row>
    <row r="32" spans="2:12">
      <c r="B32" s="394" t="s">
        <v>75</v>
      </c>
      <c r="C32" s="395"/>
      <c r="D32" s="1">
        <v>0</v>
      </c>
      <c r="E32" s="13"/>
      <c r="F32" s="13"/>
      <c r="G32" s="16"/>
      <c r="H32" s="13"/>
      <c r="I32" s="13"/>
      <c r="J32" s="13"/>
    </row>
    <row r="33" spans="2:13">
      <c r="C33" s="16"/>
      <c r="D33" s="13"/>
      <c r="E33" s="13"/>
      <c r="F33" s="13"/>
      <c r="G33" s="16"/>
      <c r="H33" s="13"/>
      <c r="I33" s="13"/>
      <c r="J33" s="13"/>
    </row>
    <row r="34" spans="2:13" ht="18">
      <c r="C34" s="11"/>
      <c r="G34" s="461" t="s">
        <v>76</v>
      </c>
      <c r="H34" s="461"/>
      <c r="I34" s="461"/>
      <c r="J34" s="461"/>
      <c r="K34" s="461"/>
      <c r="L34" s="461"/>
      <c r="M34" s="461"/>
    </row>
    <row r="35" spans="2:13">
      <c r="B35" s="442" t="s">
        <v>77</v>
      </c>
      <c r="C35" s="443"/>
      <c r="D35" s="443"/>
      <c r="E35" s="443"/>
      <c r="F35" s="443"/>
      <c r="G35" s="443"/>
      <c r="H35" s="443"/>
      <c r="I35" s="443"/>
      <c r="J35" s="443"/>
      <c r="K35" s="443"/>
      <c r="L35" s="443"/>
    </row>
    <row r="36" spans="2:13">
      <c r="B36" s="443"/>
      <c r="C36" s="443"/>
      <c r="D36" s="443"/>
      <c r="E36" s="443"/>
      <c r="F36" s="443"/>
      <c r="G36" s="443"/>
      <c r="H36" s="443"/>
      <c r="I36" s="443"/>
      <c r="J36" s="443"/>
      <c r="K36" s="443"/>
      <c r="L36" s="443"/>
    </row>
    <row r="37" spans="2:13" hidden="1">
      <c r="B37" s="18" t="s">
        <v>78</v>
      </c>
    </row>
  </sheetData>
  <sheetProtection sheet="1" objects="1" scenarios="1"/>
  <mergeCells count="53">
    <mergeCell ref="G16:I16"/>
    <mergeCell ref="D21:D23"/>
    <mergeCell ref="G34:M34"/>
    <mergeCell ref="B35:L36"/>
    <mergeCell ref="B9:L9"/>
    <mergeCell ref="C11:E11"/>
    <mergeCell ref="G11:L11"/>
    <mergeCell ref="B12:C12"/>
    <mergeCell ref="D12:E12"/>
    <mergeCell ref="G12:L12"/>
    <mergeCell ref="C13:E13"/>
    <mergeCell ref="G13:L13"/>
    <mergeCell ref="C14:E14"/>
    <mergeCell ref="G14:L14"/>
    <mergeCell ref="B15:D16"/>
    <mergeCell ref="E15:F16"/>
    <mergeCell ref="G15:L15"/>
    <mergeCell ref="L24:L25"/>
    <mergeCell ref="L16:L18"/>
    <mergeCell ref="B17:B28"/>
    <mergeCell ref="C17:D18"/>
    <mergeCell ref="E17:E18"/>
    <mergeCell ref="F17:F18"/>
    <mergeCell ref="H17:I17"/>
    <mergeCell ref="J17:K17"/>
    <mergeCell ref="L19:L20"/>
    <mergeCell ref="L21:L23"/>
    <mergeCell ref="C19:C20"/>
    <mergeCell ref="D19:D20"/>
    <mergeCell ref="H19:H20"/>
    <mergeCell ref="I19:I20"/>
    <mergeCell ref="K19:K20"/>
    <mergeCell ref="C21:C23"/>
    <mergeCell ref="I24:I25"/>
    <mergeCell ref="K24:K25"/>
    <mergeCell ref="H21:H23"/>
    <mergeCell ref="I21:I23"/>
    <mergeCell ref="K21:K23"/>
    <mergeCell ref="B32:C32"/>
    <mergeCell ref="C28:E28"/>
    <mergeCell ref="C24:C25"/>
    <mergeCell ref="D24:D25"/>
    <mergeCell ref="H24:H25"/>
    <mergeCell ref="J28:L28"/>
    <mergeCell ref="B30:C30"/>
    <mergeCell ref="B31:C31"/>
    <mergeCell ref="J30:L30"/>
    <mergeCell ref="C26:C27"/>
    <mergeCell ref="D26:D27"/>
    <mergeCell ref="H26:H27"/>
    <mergeCell ref="I26:I27"/>
    <mergeCell ref="K26:K27"/>
    <mergeCell ref="L26:L27"/>
  </mergeCells>
  <pageMargins left="0" right="0" top="0" bottom="0" header="0" footer="0"/>
  <pageSetup paperSize="9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F557A-0A3C-432C-8A72-9B1400AA4E16}">
  <sheetPr codeName="Feuil36">
    <tabColor rgb="FF7030A0"/>
  </sheetPr>
  <dimension ref="B9:M37"/>
  <sheetViews>
    <sheetView showGridLines="0" topLeftCell="A10" workbookViewId="0">
      <selection activeCell="G17" sqref="G17"/>
    </sheetView>
  </sheetViews>
  <sheetFormatPr baseColWidth="10" defaultColWidth="10.88671875" defaultRowHeight="14.4"/>
  <cols>
    <col min="1" max="1" width="8.88671875" style="5" customWidth="1"/>
    <col min="2" max="2" width="10.88671875" style="5"/>
    <col min="3" max="3" width="8.88671875" style="5" customWidth="1"/>
    <col min="4" max="4" width="14.44140625" style="5" customWidth="1"/>
    <col min="5" max="5" width="29.109375" style="5" customWidth="1"/>
    <col min="6" max="6" width="10.109375" style="5" customWidth="1"/>
    <col min="7" max="7" width="7.88671875" style="5" customWidth="1"/>
    <col min="8" max="8" width="7" style="5" customWidth="1"/>
    <col min="9" max="9" width="7.44140625" style="5" customWidth="1"/>
    <col min="10" max="10" width="10.109375" style="5" customWidth="1"/>
    <col min="11" max="11" width="9.6640625" style="5" customWidth="1"/>
    <col min="12" max="12" width="9.5546875" style="5" customWidth="1"/>
    <col min="13" max="16384" width="10.88671875" style="5"/>
  </cols>
  <sheetData>
    <row r="9" spans="2:12" ht="18" customHeight="1">
      <c r="B9" s="460" t="s">
        <v>35</v>
      </c>
      <c r="C9" s="437"/>
      <c r="D9" s="437"/>
      <c r="E9" s="437"/>
      <c r="F9" s="437"/>
      <c r="G9" s="437"/>
      <c r="H9" s="437"/>
      <c r="I9" s="437"/>
      <c r="J9" s="437"/>
      <c r="K9" s="437"/>
      <c r="L9" s="438"/>
    </row>
    <row r="10" spans="2:12" s="13" customFormat="1" ht="18" customHeight="1"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</row>
    <row r="11" spans="2:12" ht="27.6">
      <c r="B11" s="6" t="s">
        <v>36</v>
      </c>
      <c r="C11" s="291" t="e">
        <f>'SEMESTRE N°1'!#REF!</f>
        <v>#REF!</v>
      </c>
      <c r="D11" s="292"/>
      <c r="E11" s="292"/>
      <c r="F11" s="6" t="s">
        <v>37</v>
      </c>
      <c r="G11" s="294" t="str">
        <f>B37</f>
        <v>Licence Pro. Informatique-1ère année Tronc commun</v>
      </c>
      <c r="H11" s="294"/>
      <c r="I11" s="294"/>
      <c r="J11" s="294"/>
      <c r="K11" s="294"/>
      <c r="L11" s="294"/>
    </row>
    <row r="12" spans="2:12">
      <c r="B12" s="246" t="s">
        <v>38</v>
      </c>
      <c r="C12" s="246"/>
      <c r="D12" s="328" t="e">
        <f>'SEMESTRE N°1'!#REF!</f>
        <v>#REF!</v>
      </c>
      <c r="E12" s="329"/>
      <c r="F12" s="6" t="s">
        <v>29</v>
      </c>
      <c r="G12" s="294" t="e">
        <f>'SEMESTRE N°1'!#REF!</f>
        <v>#REF!</v>
      </c>
      <c r="H12" s="294"/>
      <c r="I12" s="294"/>
      <c r="J12" s="294"/>
      <c r="K12" s="294"/>
      <c r="L12" s="294"/>
    </row>
    <row r="13" spans="2:12">
      <c r="B13" s="6" t="s">
        <v>39</v>
      </c>
      <c r="C13" s="291" t="e">
        <f>'SEMESTRE N°1'!#REF!</f>
        <v>#REF!</v>
      </c>
      <c r="D13" s="292"/>
      <c r="E13" s="292"/>
      <c r="F13" s="6" t="s">
        <v>40</v>
      </c>
      <c r="G13" s="249"/>
      <c r="H13" s="249"/>
      <c r="I13" s="249"/>
      <c r="J13" s="249"/>
      <c r="K13" s="249"/>
      <c r="L13" s="249"/>
    </row>
    <row r="14" spans="2:12" ht="27.6">
      <c r="B14" s="6" t="s">
        <v>41</v>
      </c>
      <c r="C14" s="305" t="e">
        <f>'SEMESTRE N°1'!#REF!</f>
        <v>#REF!</v>
      </c>
      <c r="D14" s="294"/>
      <c r="E14" s="294"/>
      <c r="F14" s="6" t="s">
        <v>42</v>
      </c>
      <c r="G14" s="249"/>
      <c r="H14" s="249"/>
      <c r="I14" s="249"/>
      <c r="J14" s="249"/>
      <c r="K14" s="249"/>
      <c r="L14" s="249"/>
    </row>
    <row r="15" spans="2:12">
      <c r="B15" s="281" t="s">
        <v>43</v>
      </c>
      <c r="C15" s="281"/>
      <c r="D15" s="281"/>
      <c r="E15" s="282" t="s">
        <v>17</v>
      </c>
      <c r="F15" s="283"/>
      <c r="G15" s="240" t="s">
        <v>44</v>
      </c>
      <c r="H15" s="240"/>
      <c r="I15" s="240"/>
      <c r="J15" s="240"/>
      <c r="K15" s="240"/>
      <c r="L15" s="240"/>
    </row>
    <row r="16" spans="2:12">
      <c r="B16" s="281"/>
      <c r="C16" s="281"/>
      <c r="D16" s="281"/>
      <c r="E16" s="282"/>
      <c r="F16" s="283"/>
      <c r="G16" s="240" t="s">
        <v>45</v>
      </c>
      <c r="H16" s="240"/>
      <c r="I16" s="240"/>
      <c r="J16" s="7" t="s">
        <v>46</v>
      </c>
      <c r="K16" s="7"/>
      <c r="L16" s="240" t="s">
        <v>47</v>
      </c>
    </row>
    <row r="17" spans="2:12">
      <c r="B17" s="233" t="s">
        <v>48</v>
      </c>
      <c r="C17" s="273" t="s">
        <v>49</v>
      </c>
      <c r="D17" s="273"/>
      <c r="E17" s="272" t="s">
        <v>49</v>
      </c>
      <c r="F17" s="272" t="s">
        <v>50</v>
      </c>
      <c r="G17" s="2" t="s">
        <v>51</v>
      </c>
      <c r="H17" s="272" t="s">
        <v>52</v>
      </c>
      <c r="I17" s="272"/>
      <c r="J17" s="272" t="s">
        <v>17</v>
      </c>
      <c r="K17" s="272"/>
      <c r="L17" s="240"/>
    </row>
    <row r="18" spans="2:12">
      <c r="B18" s="234"/>
      <c r="C18" s="272"/>
      <c r="D18" s="274"/>
      <c r="E18" s="272"/>
      <c r="F18" s="272"/>
      <c r="G18" s="60" t="s">
        <v>53</v>
      </c>
      <c r="H18" s="60" t="s">
        <v>53</v>
      </c>
      <c r="I18" s="60" t="s">
        <v>50</v>
      </c>
      <c r="J18" s="60" t="s">
        <v>53</v>
      </c>
      <c r="K18" s="60" t="s">
        <v>50</v>
      </c>
      <c r="L18" s="240"/>
    </row>
    <row r="19" spans="2:12" ht="17.399999999999999" customHeight="1">
      <c r="B19" s="234"/>
      <c r="C19" s="450" t="s">
        <v>54</v>
      </c>
      <c r="D19" s="451" t="s">
        <v>55</v>
      </c>
      <c r="E19" s="8" t="s">
        <v>56</v>
      </c>
      <c r="F19" s="9">
        <v>3</v>
      </c>
      <c r="G19" s="4" t="e">
        <f>'SEMESTRE N°1'!#REF!</f>
        <v>#REF!</v>
      </c>
      <c r="H19" s="453" t="e">
        <f>ROUND((F19*G19+F20*G20)/(F19+F20),2)</f>
        <v>#REF!</v>
      </c>
      <c r="I19" s="453" t="e">
        <f>IF(H19&gt;9.99,(F19+F20),0)</f>
        <v>#REF!</v>
      </c>
      <c r="J19" s="10"/>
      <c r="K19" s="447"/>
      <c r="L19" s="448" t="e">
        <f>IF(H19&gt;10,"Validé","Non validé")</f>
        <v>#REF!</v>
      </c>
    </row>
    <row r="20" spans="2:12" ht="18.899999999999999" customHeight="1">
      <c r="B20" s="234"/>
      <c r="C20" s="450"/>
      <c r="D20" s="269"/>
      <c r="E20" s="8" t="s">
        <v>57</v>
      </c>
      <c r="F20" s="9">
        <v>3</v>
      </c>
      <c r="G20" s="4" t="e">
        <f>'SEMESTRE N°1'!#REF!</f>
        <v>#REF!</v>
      </c>
      <c r="H20" s="454"/>
      <c r="I20" s="453"/>
      <c r="J20" s="10"/>
      <c r="K20" s="372"/>
      <c r="L20" s="449"/>
    </row>
    <row r="21" spans="2:12">
      <c r="B21" s="234"/>
      <c r="C21" s="455" t="s">
        <v>58</v>
      </c>
      <c r="D21" s="451" t="s">
        <v>59</v>
      </c>
      <c r="E21" s="8" t="s">
        <v>60</v>
      </c>
      <c r="F21" s="9">
        <v>5</v>
      </c>
      <c r="G21" s="4" t="e">
        <f>'SEMESTRE N°1'!#REF!</f>
        <v>#REF!</v>
      </c>
      <c r="H21" s="453" t="e">
        <f>ROUND((F21*G21+F22*G22+F23*G23)/(F21+F22+F23),2)</f>
        <v>#REF!</v>
      </c>
      <c r="I21" s="453" t="e">
        <f>IF(H21&gt;9.99,(F21+F22+F23),0)</f>
        <v>#REF!</v>
      </c>
      <c r="J21" s="10"/>
      <c r="K21" s="447"/>
      <c r="L21" s="448" t="e">
        <f>IF(H21&gt;10,"Validé","Non validé")</f>
        <v>#REF!</v>
      </c>
    </row>
    <row r="22" spans="2:12">
      <c r="B22" s="234"/>
      <c r="C22" s="455"/>
      <c r="D22" s="458"/>
      <c r="E22" s="8" t="s">
        <v>61</v>
      </c>
      <c r="F22" s="9">
        <v>3</v>
      </c>
      <c r="G22" s="4" t="e">
        <f>'SEMESTRE N°1'!#REF!</f>
        <v>#REF!</v>
      </c>
      <c r="H22" s="454"/>
      <c r="I22" s="453"/>
      <c r="J22" s="10"/>
      <c r="K22" s="459"/>
      <c r="L22" s="456"/>
    </row>
    <row r="23" spans="2:12" ht="15" customHeight="1">
      <c r="B23" s="234"/>
      <c r="C23" s="455"/>
      <c r="D23" s="462"/>
      <c r="E23" s="8" t="s">
        <v>62</v>
      </c>
      <c r="F23" s="9">
        <v>3</v>
      </c>
      <c r="G23" s="4" t="e">
        <f>'SEMESTRE N°1'!#REF!</f>
        <v>#REF!</v>
      </c>
      <c r="H23" s="454"/>
      <c r="I23" s="453"/>
      <c r="J23" s="10"/>
      <c r="K23" s="372"/>
      <c r="L23" s="457"/>
    </row>
    <row r="24" spans="2:12" ht="18.600000000000001" customHeight="1">
      <c r="B24" s="234"/>
      <c r="C24" s="450" t="s">
        <v>63</v>
      </c>
      <c r="D24" s="451" t="s">
        <v>64</v>
      </c>
      <c r="E24" s="8" t="s">
        <v>65</v>
      </c>
      <c r="F24" s="9">
        <v>4</v>
      </c>
      <c r="G24" s="4" t="e">
        <f>'SEMESTRE N°1'!#REF!</f>
        <v>#REF!</v>
      </c>
      <c r="H24" s="453" t="e">
        <f>ROUND((G24*F24+G25*F25)/(F24+F25),2)</f>
        <v>#REF!</v>
      </c>
      <c r="I24" s="453" t="e">
        <f>IF(H24&gt;9.99,(F24+F25),0)</f>
        <v>#REF!</v>
      </c>
      <c r="J24" s="10"/>
      <c r="K24" s="447"/>
      <c r="L24" s="448" t="e">
        <f>IF(H24&gt;9.99,"Validé","Non validé")</f>
        <v>#REF!</v>
      </c>
    </row>
    <row r="25" spans="2:12" ht="19.5" customHeight="1">
      <c r="B25" s="234"/>
      <c r="C25" s="450"/>
      <c r="D25" s="462"/>
      <c r="E25" s="8" t="s">
        <v>66</v>
      </c>
      <c r="F25" s="9">
        <v>4</v>
      </c>
      <c r="G25" s="4" t="e">
        <f>'SEMESTRE N°1'!#REF!</f>
        <v>#REF!</v>
      </c>
      <c r="H25" s="454"/>
      <c r="I25" s="453"/>
      <c r="J25" s="10"/>
      <c r="K25" s="372"/>
      <c r="L25" s="449"/>
    </row>
    <row r="26" spans="2:12" ht="17.399999999999999" customHeight="1">
      <c r="B26" s="234"/>
      <c r="C26" s="455" t="s">
        <v>67</v>
      </c>
      <c r="D26" s="451" t="s">
        <v>68</v>
      </c>
      <c r="E26" s="8" t="s">
        <v>69</v>
      </c>
      <c r="F26" s="9">
        <v>2</v>
      </c>
      <c r="G26" s="4" t="e">
        <f>'SEMESTRE N°1'!#REF!</f>
        <v>#REF!</v>
      </c>
      <c r="H26" s="453" t="e">
        <f>ROUND((G26*F26+G27*F27)/(F26+F27),2)</f>
        <v>#REF!</v>
      </c>
      <c r="I26" s="453" t="e">
        <f>IF(H26&gt;9.99,(F26+F27),0)</f>
        <v>#REF!</v>
      </c>
      <c r="J26" s="10"/>
      <c r="K26" s="447"/>
      <c r="L26" s="448" t="e">
        <f>IF(H26&gt;9.99,"Validé","Non validé")</f>
        <v>#REF!</v>
      </c>
    </row>
    <row r="27" spans="2:12" ht="24.6" customHeight="1">
      <c r="B27" s="234"/>
      <c r="C27" s="455"/>
      <c r="D27" s="452"/>
      <c r="E27" s="8" t="s">
        <v>70</v>
      </c>
      <c r="F27" s="9">
        <v>3</v>
      </c>
      <c r="G27" s="4" t="e">
        <f>'SEMESTRE N°1'!#REF!</f>
        <v>#REF!</v>
      </c>
      <c r="H27" s="454"/>
      <c r="I27" s="453"/>
      <c r="J27" s="10"/>
      <c r="K27" s="372"/>
      <c r="L27" s="449"/>
    </row>
    <row r="28" spans="2:12">
      <c r="B28" s="234"/>
      <c r="C28" s="284" t="s">
        <v>71</v>
      </c>
      <c r="D28" s="285"/>
      <c r="E28" s="284"/>
      <c r="F28" s="19">
        <f>F19+F20+F21+F22+F23+F24+F25+F26+F27</f>
        <v>30</v>
      </c>
      <c r="G28" s="3"/>
      <c r="H28" s="58" t="e">
        <f>ROUND((H19+H21+H24+H26)/4,2)</f>
        <v>#REF!</v>
      </c>
      <c r="I28" s="20" t="e">
        <f>I26+I24+I21+I19</f>
        <v>#REF!</v>
      </c>
      <c r="J28" s="445"/>
      <c r="K28" s="445"/>
      <c r="L28" s="446"/>
    </row>
    <row r="29" spans="2:12">
      <c r="C29" s="11"/>
      <c r="G29" s="11"/>
    </row>
    <row r="30" spans="2:12" ht="18">
      <c r="B30" s="392" t="s">
        <v>72</v>
      </c>
      <c r="C30" s="393"/>
      <c r="D30" s="21" t="e">
        <f>I19+I21+I24+I26</f>
        <v>#REF!</v>
      </c>
      <c r="E30" s="12"/>
      <c r="F30" s="13"/>
      <c r="G30" s="14"/>
      <c r="H30" s="15"/>
      <c r="I30" s="15"/>
      <c r="J30" s="398" t="s">
        <v>73</v>
      </c>
      <c r="K30" s="398"/>
      <c r="L30" s="398"/>
    </row>
    <row r="31" spans="2:12">
      <c r="B31" s="394" t="s">
        <v>74</v>
      </c>
      <c r="C31" s="395"/>
      <c r="D31" s="22" t="e">
        <f>IF(D30=F28,"Semestre validé","Semestre non validé")</f>
        <v>#REF!</v>
      </c>
      <c r="E31" s="13"/>
      <c r="F31" s="13"/>
      <c r="G31" s="16"/>
      <c r="K31" s="13"/>
      <c r="L31" s="13"/>
    </row>
    <row r="32" spans="2:12">
      <c r="B32" s="394" t="s">
        <v>75</v>
      </c>
      <c r="C32" s="395"/>
      <c r="D32" s="1">
        <v>0</v>
      </c>
      <c r="E32" s="13"/>
      <c r="F32" s="13"/>
      <c r="G32" s="16"/>
      <c r="H32" s="13"/>
      <c r="I32" s="13"/>
      <c r="J32" s="13"/>
    </row>
    <row r="33" spans="2:13">
      <c r="C33" s="16"/>
      <c r="D33" s="13"/>
      <c r="E33" s="13"/>
      <c r="F33" s="13"/>
      <c r="G33" s="16"/>
      <c r="H33" s="13"/>
      <c r="I33" s="13"/>
      <c r="J33" s="13"/>
    </row>
    <row r="34" spans="2:13" ht="15" customHeight="1">
      <c r="C34" s="11"/>
      <c r="G34" s="461" t="s">
        <v>76</v>
      </c>
      <c r="H34" s="461"/>
      <c r="I34" s="461"/>
      <c r="J34" s="461"/>
      <c r="K34" s="461"/>
      <c r="L34" s="461"/>
      <c r="M34" s="461"/>
    </row>
    <row r="35" spans="2:13">
      <c r="B35" s="442" t="s">
        <v>77</v>
      </c>
      <c r="C35" s="443"/>
      <c r="D35" s="443"/>
      <c r="E35" s="443"/>
      <c r="F35" s="443"/>
      <c r="G35" s="443"/>
      <c r="H35" s="443"/>
      <c r="I35" s="443"/>
      <c r="J35" s="443"/>
      <c r="K35" s="443"/>
      <c r="L35" s="443"/>
    </row>
    <row r="36" spans="2:13">
      <c r="B36" s="443"/>
      <c r="C36" s="443"/>
      <c r="D36" s="443"/>
      <c r="E36" s="443"/>
      <c r="F36" s="443"/>
      <c r="G36" s="443"/>
      <c r="H36" s="443"/>
      <c r="I36" s="443"/>
      <c r="J36" s="443"/>
      <c r="K36" s="443"/>
      <c r="L36" s="443"/>
    </row>
    <row r="37" spans="2:13" hidden="1">
      <c r="B37" s="18" t="s">
        <v>78</v>
      </c>
    </row>
  </sheetData>
  <sheetProtection sheet="1" objects="1" scenarios="1"/>
  <mergeCells count="53">
    <mergeCell ref="G16:I16"/>
    <mergeCell ref="D21:D23"/>
    <mergeCell ref="G34:M34"/>
    <mergeCell ref="B35:L36"/>
    <mergeCell ref="B9:L9"/>
    <mergeCell ref="C11:E11"/>
    <mergeCell ref="G11:L11"/>
    <mergeCell ref="B12:C12"/>
    <mergeCell ref="D12:E12"/>
    <mergeCell ref="G12:L12"/>
    <mergeCell ref="C13:E13"/>
    <mergeCell ref="G13:L13"/>
    <mergeCell ref="C14:E14"/>
    <mergeCell ref="G14:L14"/>
    <mergeCell ref="B15:D16"/>
    <mergeCell ref="E15:F16"/>
    <mergeCell ref="G15:L15"/>
    <mergeCell ref="L24:L25"/>
    <mergeCell ref="L16:L18"/>
    <mergeCell ref="B17:B28"/>
    <mergeCell ref="C17:D18"/>
    <mergeCell ref="E17:E18"/>
    <mergeCell ref="F17:F18"/>
    <mergeCell ref="H17:I17"/>
    <mergeCell ref="J17:K17"/>
    <mergeCell ref="L19:L20"/>
    <mergeCell ref="L21:L23"/>
    <mergeCell ref="C19:C20"/>
    <mergeCell ref="D19:D20"/>
    <mergeCell ref="H19:H20"/>
    <mergeCell ref="I19:I20"/>
    <mergeCell ref="K19:K20"/>
    <mergeCell ref="C21:C23"/>
    <mergeCell ref="I24:I25"/>
    <mergeCell ref="K24:K25"/>
    <mergeCell ref="H21:H23"/>
    <mergeCell ref="I21:I23"/>
    <mergeCell ref="K21:K23"/>
    <mergeCell ref="B32:C32"/>
    <mergeCell ref="C28:E28"/>
    <mergeCell ref="C24:C25"/>
    <mergeCell ref="D24:D25"/>
    <mergeCell ref="H24:H25"/>
    <mergeCell ref="J28:L28"/>
    <mergeCell ref="B30:C30"/>
    <mergeCell ref="B31:C31"/>
    <mergeCell ref="J30:L30"/>
    <mergeCell ref="C26:C27"/>
    <mergeCell ref="D26:D27"/>
    <mergeCell ref="H26:H27"/>
    <mergeCell ref="I26:I27"/>
    <mergeCell ref="K26:K27"/>
    <mergeCell ref="L26:L27"/>
  </mergeCells>
  <pageMargins left="0" right="0" top="0" bottom="0" header="0" footer="0"/>
  <pageSetup paperSize="9"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EDEC4-140D-4171-A2E5-48CEB6D3BB3B}">
  <sheetPr codeName="Feuil37">
    <tabColor rgb="FF7030A0"/>
  </sheetPr>
  <dimension ref="B9:M38"/>
  <sheetViews>
    <sheetView showGridLines="0" topLeftCell="A16" workbookViewId="0">
      <selection activeCell="E31" sqref="E31"/>
    </sheetView>
  </sheetViews>
  <sheetFormatPr baseColWidth="10" defaultColWidth="10.88671875" defaultRowHeight="14.4"/>
  <cols>
    <col min="1" max="1" width="6.44140625" style="5" customWidth="1"/>
    <col min="2" max="2" width="10.88671875" style="5"/>
    <col min="3" max="3" width="8.88671875" style="5" customWidth="1"/>
    <col min="4" max="4" width="15.109375" style="5" customWidth="1"/>
    <col min="5" max="5" width="29.5546875" style="5" customWidth="1"/>
    <col min="6" max="6" width="10.5546875" style="5" customWidth="1"/>
    <col min="7" max="7" width="7.88671875" style="5" customWidth="1"/>
    <col min="8" max="8" width="7" style="5" customWidth="1"/>
    <col min="9" max="9" width="7.44140625" style="5" customWidth="1"/>
    <col min="10" max="10" width="10.109375" style="5" customWidth="1"/>
    <col min="11" max="11" width="9.6640625" style="5" customWidth="1"/>
    <col min="12" max="12" width="9.5546875" style="5" customWidth="1"/>
    <col min="13" max="16384" width="10.88671875" style="5"/>
  </cols>
  <sheetData>
    <row r="9" spans="2:12" ht="18" customHeight="1">
      <c r="B9" s="460" t="s">
        <v>35</v>
      </c>
      <c r="C9" s="437"/>
      <c r="D9" s="437"/>
      <c r="E9" s="437"/>
      <c r="F9" s="437"/>
      <c r="G9" s="437"/>
      <c r="H9" s="437"/>
      <c r="I9" s="437"/>
      <c r="J9" s="437"/>
      <c r="K9" s="437"/>
      <c r="L9" s="438"/>
    </row>
    <row r="10" spans="2:12" s="13" customFormat="1" ht="18" customHeight="1"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</row>
    <row r="11" spans="2:12">
      <c r="B11" s="6" t="s">
        <v>36</v>
      </c>
      <c r="C11" s="291" t="e">
        <f>'SEMESTRE N°1'!#REF!</f>
        <v>#REF!</v>
      </c>
      <c r="D11" s="292"/>
      <c r="E11" s="292"/>
      <c r="F11" s="6" t="s">
        <v>37</v>
      </c>
      <c r="G11" s="294" t="str">
        <f>B38</f>
        <v>Licence Pro. Informatique-1ère année Tronc commun</v>
      </c>
      <c r="H11" s="294"/>
      <c r="I11" s="294"/>
      <c r="J11" s="294"/>
      <c r="K11" s="294"/>
      <c r="L11" s="294"/>
    </row>
    <row r="12" spans="2:12">
      <c r="B12" s="246" t="s">
        <v>38</v>
      </c>
      <c r="C12" s="246"/>
      <c r="D12" s="328" t="e">
        <f>'SEMESTRE N°1'!#REF!</f>
        <v>#REF!</v>
      </c>
      <c r="E12" s="329"/>
      <c r="F12" s="6" t="s">
        <v>29</v>
      </c>
      <c r="G12" s="294" t="e">
        <f>'SEMESTRE N°1'!#REF!</f>
        <v>#REF!</v>
      </c>
      <c r="H12" s="294"/>
      <c r="I12" s="294"/>
      <c r="J12" s="294"/>
      <c r="K12" s="294"/>
      <c r="L12" s="294"/>
    </row>
    <row r="13" spans="2:12">
      <c r="B13" s="6" t="s">
        <v>39</v>
      </c>
      <c r="C13" s="291" t="e">
        <f>'SEMESTRE N°1'!#REF!</f>
        <v>#REF!</v>
      </c>
      <c r="D13" s="292"/>
      <c r="E13" s="292"/>
      <c r="F13" s="6" t="s">
        <v>40</v>
      </c>
      <c r="G13" s="249"/>
      <c r="H13" s="249"/>
      <c r="I13" s="249"/>
      <c r="J13" s="249"/>
      <c r="K13" s="249"/>
      <c r="L13" s="249"/>
    </row>
    <row r="14" spans="2:12">
      <c r="B14" s="6" t="s">
        <v>41</v>
      </c>
      <c r="C14" s="305" t="e">
        <f>'SEMESTRE N°1'!#REF!</f>
        <v>#REF!</v>
      </c>
      <c r="D14" s="294"/>
      <c r="E14" s="294"/>
      <c r="F14" s="6" t="s">
        <v>42</v>
      </c>
      <c r="G14" s="249"/>
      <c r="H14" s="249"/>
      <c r="I14" s="249"/>
      <c r="J14" s="249"/>
      <c r="K14" s="249"/>
      <c r="L14" s="249"/>
    </row>
    <row r="15" spans="2:12">
      <c r="B15" s="281" t="s">
        <v>43</v>
      </c>
      <c r="C15" s="281"/>
      <c r="D15" s="281"/>
      <c r="E15" s="282" t="s">
        <v>17</v>
      </c>
      <c r="F15" s="283"/>
      <c r="G15" s="240" t="s">
        <v>44</v>
      </c>
      <c r="H15" s="240"/>
      <c r="I15" s="240"/>
      <c r="J15" s="240"/>
      <c r="K15" s="240"/>
      <c r="L15" s="240"/>
    </row>
    <row r="16" spans="2:12">
      <c r="B16" s="281"/>
      <c r="C16" s="281"/>
      <c r="D16" s="281"/>
      <c r="E16" s="282"/>
      <c r="F16" s="283"/>
      <c r="G16" s="240" t="s">
        <v>45</v>
      </c>
      <c r="H16" s="240"/>
      <c r="I16" s="240"/>
      <c r="J16" s="7" t="s">
        <v>46</v>
      </c>
      <c r="K16" s="7"/>
      <c r="L16" s="240" t="s">
        <v>47</v>
      </c>
    </row>
    <row r="17" spans="2:12">
      <c r="B17" s="233" t="s">
        <v>48</v>
      </c>
      <c r="C17" s="273" t="s">
        <v>49</v>
      </c>
      <c r="D17" s="273"/>
      <c r="E17" s="272" t="s">
        <v>49</v>
      </c>
      <c r="F17" s="272" t="s">
        <v>50</v>
      </c>
      <c r="G17" s="2" t="s">
        <v>51</v>
      </c>
      <c r="H17" s="272" t="s">
        <v>52</v>
      </c>
      <c r="I17" s="272"/>
      <c r="J17" s="272" t="s">
        <v>17</v>
      </c>
      <c r="K17" s="272"/>
      <c r="L17" s="240"/>
    </row>
    <row r="18" spans="2:12">
      <c r="B18" s="234"/>
      <c r="C18" s="272"/>
      <c r="D18" s="274"/>
      <c r="E18" s="272"/>
      <c r="F18" s="272"/>
      <c r="G18" s="60" t="s">
        <v>53</v>
      </c>
      <c r="H18" s="60" t="s">
        <v>53</v>
      </c>
      <c r="I18" s="60" t="s">
        <v>50</v>
      </c>
      <c r="J18" s="60" t="s">
        <v>53</v>
      </c>
      <c r="K18" s="60" t="s">
        <v>50</v>
      </c>
      <c r="L18" s="240"/>
    </row>
    <row r="19" spans="2:12" ht="17.399999999999999" customHeight="1">
      <c r="B19" s="234"/>
      <c r="C19" s="450" t="s">
        <v>54</v>
      </c>
      <c r="D19" s="451" t="s">
        <v>55</v>
      </c>
      <c r="E19" s="8" t="s">
        <v>56</v>
      </c>
      <c r="F19" s="9">
        <v>3</v>
      </c>
      <c r="G19" s="4" t="e">
        <f>'SEMESTRE N°1'!#REF!</f>
        <v>#REF!</v>
      </c>
      <c r="H19" s="463" t="e">
        <f>ROUND((F19*G19+F20*G20)/(F19+F20),2)</f>
        <v>#REF!</v>
      </c>
      <c r="I19" s="463" t="e">
        <f>IF(H19&gt;9.99,(F19+F20),0)</f>
        <v>#REF!</v>
      </c>
      <c r="J19" s="10"/>
      <c r="K19" s="447"/>
      <c r="L19" s="448" t="e">
        <f>IF(H19&gt;10,"Validé","Non validé")</f>
        <v>#REF!</v>
      </c>
    </row>
    <row r="20" spans="2:12" ht="18.899999999999999" customHeight="1">
      <c r="B20" s="234"/>
      <c r="C20" s="450"/>
      <c r="D20" s="269"/>
      <c r="E20" s="8" t="s">
        <v>57</v>
      </c>
      <c r="F20" s="9">
        <v>3</v>
      </c>
      <c r="G20" s="4" t="e">
        <f>'SEMESTRE N°1'!#REF!</f>
        <v>#REF!</v>
      </c>
      <c r="H20" s="464"/>
      <c r="I20" s="463"/>
      <c r="J20" s="10"/>
      <c r="K20" s="372"/>
      <c r="L20" s="449"/>
    </row>
    <row r="21" spans="2:12">
      <c r="B21" s="234"/>
      <c r="C21" s="455" t="s">
        <v>58</v>
      </c>
      <c r="D21" s="451" t="s">
        <v>59</v>
      </c>
      <c r="E21" s="8" t="s">
        <v>60</v>
      </c>
      <c r="F21" s="9">
        <v>5</v>
      </c>
      <c r="G21" s="4" t="e">
        <f>'SEMESTRE N°1'!#REF!</f>
        <v>#REF!</v>
      </c>
      <c r="H21" s="463" t="e">
        <f>ROUND((F21*G21+F22*G22+F23*G23)/(F21+F22+F23),2)</f>
        <v>#REF!</v>
      </c>
      <c r="I21" s="463" t="e">
        <f>IF(H21&gt;9.99,(F21+F22+F23),0)</f>
        <v>#REF!</v>
      </c>
      <c r="J21" s="10"/>
      <c r="K21" s="447"/>
      <c r="L21" s="448" t="e">
        <f>IF(H21&gt;10,"Validé","Non validé")</f>
        <v>#REF!</v>
      </c>
    </row>
    <row r="22" spans="2:12">
      <c r="B22" s="234"/>
      <c r="C22" s="455"/>
      <c r="D22" s="458"/>
      <c r="E22" s="8" t="s">
        <v>61</v>
      </c>
      <c r="F22" s="9">
        <v>3</v>
      </c>
      <c r="G22" s="4" t="e">
        <f>'SEMESTRE N°1'!#REF!</f>
        <v>#REF!</v>
      </c>
      <c r="H22" s="464"/>
      <c r="I22" s="463"/>
      <c r="J22" s="10"/>
      <c r="K22" s="459"/>
      <c r="L22" s="456"/>
    </row>
    <row r="23" spans="2:12" ht="15" customHeight="1">
      <c r="B23" s="234"/>
      <c r="C23" s="455"/>
      <c r="D23" s="452"/>
      <c r="E23" s="8" t="s">
        <v>62</v>
      </c>
      <c r="F23" s="9">
        <v>3</v>
      </c>
      <c r="G23" s="4" t="e">
        <f>'SEMESTRE N°1'!#REF!</f>
        <v>#REF!</v>
      </c>
      <c r="H23" s="464"/>
      <c r="I23" s="463"/>
      <c r="J23" s="10"/>
      <c r="K23" s="372"/>
      <c r="L23" s="457"/>
    </row>
    <row r="24" spans="2:12" ht="18.600000000000001" customHeight="1">
      <c r="B24" s="234"/>
      <c r="C24" s="450" t="s">
        <v>63</v>
      </c>
      <c r="D24" s="451" t="s">
        <v>64</v>
      </c>
      <c r="E24" s="8" t="s">
        <v>65</v>
      </c>
      <c r="F24" s="9">
        <v>4</v>
      </c>
      <c r="G24" s="4" t="e">
        <f>'SEMESTRE N°1'!#REF!</f>
        <v>#REF!</v>
      </c>
      <c r="H24" s="463" t="e">
        <f>ROUND((G24*F24+G25*F25)/(F24+F25),2)</f>
        <v>#REF!</v>
      </c>
      <c r="I24" s="463" t="e">
        <f>IF(H24&gt;9.99,(F24+F25),0)</f>
        <v>#REF!</v>
      </c>
      <c r="J24" s="10"/>
      <c r="K24" s="447"/>
      <c r="L24" s="448" t="e">
        <f>IF(H24&gt;9.99,"Validé","Non validé")</f>
        <v>#REF!</v>
      </c>
    </row>
    <row r="25" spans="2:12" ht="19.5" customHeight="1">
      <c r="B25" s="234"/>
      <c r="C25" s="450"/>
      <c r="D25" s="452"/>
      <c r="E25" s="8" t="s">
        <v>66</v>
      </c>
      <c r="F25" s="9">
        <v>4</v>
      </c>
      <c r="G25" s="4" t="e">
        <f>'SEMESTRE N°1'!#REF!</f>
        <v>#REF!</v>
      </c>
      <c r="H25" s="464"/>
      <c r="I25" s="463"/>
      <c r="J25" s="10"/>
      <c r="K25" s="372"/>
      <c r="L25" s="449"/>
    </row>
    <row r="26" spans="2:12" ht="17.399999999999999" customHeight="1">
      <c r="B26" s="234"/>
      <c r="C26" s="455" t="s">
        <v>67</v>
      </c>
      <c r="D26" s="451" t="s">
        <v>68</v>
      </c>
      <c r="E26" s="8" t="s">
        <v>69</v>
      </c>
      <c r="F26" s="9">
        <v>2</v>
      </c>
      <c r="G26" s="4" t="e">
        <f>'SEMESTRE N°1'!#REF!</f>
        <v>#REF!</v>
      </c>
      <c r="H26" s="463" t="e">
        <f>ROUND((G26*F26+G27*F27)/(F26+F27),2)</f>
        <v>#REF!</v>
      </c>
      <c r="I26" s="463" t="e">
        <f>IF(H26&gt;9.99,(F26+F27),0)</f>
        <v>#REF!</v>
      </c>
      <c r="J26" s="10"/>
      <c r="K26" s="447"/>
      <c r="L26" s="448" t="e">
        <f>IF(H26&gt;9.99,"Validé","Non validé")</f>
        <v>#REF!</v>
      </c>
    </row>
    <row r="27" spans="2:12" ht="24.6" customHeight="1">
      <c r="B27" s="234"/>
      <c r="C27" s="455"/>
      <c r="D27" s="452"/>
      <c r="E27" s="8" t="s">
        <v>70</v>
      </c>
      <c r="F27" s="9">
        <v>3</v>
      </c>
      <c r="G27" s="4" t="e">
        <f>'SEMESTRE N°1'!#REF!</f>
        <v>#REF!</v>
      </c>
      <c r="H27" s="464"/>
      <c r="I27" s="463"/>
      <c r="J27" s="10"/>
      <c r="K27" s="372"/>
      <c r="L27" s="449"/>
    </row>
    <row r="28" spans="2:12">
      <c r="B28" s="234"/>
      <c r="C28" s="284" t="s">
        <v>71</v>
      </c>
      <c r="D28" s="285"/>
      <c r="E28" s="284"/>
      <c r="F28" s="19">
        <f>F19+F20+F21+F22+F23+F24+F25+F26+F27</f>
        <v>30</v>
      </c>
      <c r="G28" s="3"/>
      <c r="H28" s="58" t="e">
        <f>ROUND((H19+H21+H24+H26)/4,2)</f>
        <v>#REF!</v>
      </c>
      <c r="I28" s="20" t="e">
        <f>I26+I24+I21+I19</f>
        <v>#REF!</v>
      </c>
      <c r="J28" s="445"/>
      <c r="K28" s="445"/>
      <c r="L28" s="446"/>
    </row>
    <row r="29" spans="2:12">
      <c r="C29" s="11"/>
      <c r="G29" s="11"/>
    </row>
    <row r="30" spans="2:12" ht="18">
      <c r="B30" s="392" t="s">
        <v>72</v>
      </c>
      <c r="C30" s="393"/>
      <c r="D30" s="21" t="e">
        <f>I19+I21+I24+I26</f>
        <v>#REF!</v>
      </c>
      <c r="E30" s="12"/>
      <c r="F30" s="13"/>
      <c r="G30" s="14"/>
      <c r="H30" s="15"/>
      <c r="I30" s="15"/>
      <c r="J30" s="398" t="s">
        <v>73</v>
      </c>
      <c r="K30" s="398"/>
      <c r="L30" s="398"/>
    </row>
    <row r="31" spans="2:12">
      <c r="B31" s="394" t="s">
        <v>74</v>
      </c>
      <c r="C31" s="395"/>
      <c r="D31" s="22" t="e">
        <f>IF(D30=F28,"Semestre validé","Semestre non validé")</f>
        <v>#REF!</v>
      </c>
      <c r="E31" s="13"/>
      <c r="F31" s="13"/>
      <c r="G31" s="16"/>
      <c r="K31" s="13"/>
      <c r="L31" s="13"/>
    </row>
    <row r="32" spans="2:12">
      <c r="B32" s="394" t="s">
        <v>75</v>
      </c>
      <c r="C32" s="395"/>
      <c r="D32" s="1">
        <v>0</v>
      </c>
      <c r="E32" s="13"/>
      <c r="F32" s="13"/>
      <c r="G32" s="16"/>
      <c r="H32" s="13"/>
      <c r="I32" s="13"/>
      <c r="J32" s="13"/>
    </row>
    <row r="33" spans="2:13">
      <c r="C33" s="16"/>
      <c r="D33" s="13"/>
      <c r="E33" s="13"/>
      <c r="F33" s="13"/>
      <c r="G33" s="16"/>
      <c r="H33" s="13"/>
      <c r="I33" s="13"/>
      <c r="J33" s="13"/>
    </row>
    <row r="34" spans="2:13" ht="18">
      <c r="C34" s="11"/>
      <c r="G34" s="461" t="s">
        <v>76</v>
      </c>
      <c r="H34" s="461"/>
      <c r="I34" s="461"/>
      <c r="J34" s="461"/>
      <c r="K34" s="461"/>
      <c r="L34" s="461"/>
      <c r="M34" s="461"/>
    </row>
    <row r="35" spans="2:13" ht="6.6" customHeight="1">
      <c r="C35" s="11"/>
      <c r="G35" s="11"/>
    </row>
    <row r="36" spans="2:13">
      <c r="B36" s="442" t="s">
        <v>77</v>
      </c>
      <c r="C36" s="443"/>
      <c r="D36" s="443"/>
      <c r="E36" s="443"/>
      <c r="F36" s="443"/>
      <c r="G36" s="443"/>
      <c r="H36" s="443"/>
      <c r="I36" s="443"/>
      <c r="J36" s="443"/>
      <c r="K36" s="443"/>
      <c r="L36" s="443"/>
    </row>
    <row r="37" spans="2:13">
      <c r="B37" s="443"/>
      <c r="C37" s="443"/>
      <c r="D37" s="443"/>
      <c r="E37" s="443"/>
      <c r="F37" s="443"/>
      <c r="G37" s="443"/>
      <c r="H37" s="443"/>
      <c r="I37" s="443"/>
      <c r="J37" s="443"/>
      <c r="K37" s="443"/>
      <c r="L37" s="443"/>
    </row>
    <row r="38" spans="2:13" hidden="1">
      <c r="B38" s="18" t="s">
        <v>78</v>
      </c>
    </row>
  </sheetData>
  <sheetProtection sheet="1" selectLockedCells="1" selectUnlockedCells="1"/>
  <mergeCells count="53">
    <mergeCell ref="G16:I16"/>
    <mergeCell ref="D21:D23"/>
    <mergeCell ref="G34:M34"/>
    <mergeCell ref="B36:L37"/>
    <mergeCell ref="B9:L9"/>
    <mergeCell ref="C11:E11"/>
    <mergeCell ref="G11:L11"/>
    <mergeCell ref="B12:C12"/>
    <mergeCell ref="D12:E12"/>
    <mergeCell ref="G12:L12"/>
    <mergeCell ref="C13:E13"/>
    <mergeCell ref="G13:L13"/>
    <mergeCell ref="C14:E14"/>
    <mergeCell ref="G14:L14"/>
    <mergeCell ref="B15:D16"/>
    <mergeCell ref="E15:F16"/>
    <mergeCell ref="G15:L15"/>
    <mergeCell ref="L24:L25"/>
    <mergeCell ref="L16:L18"/>
    <mergeCell ref="B17:B28"/>
    <mergeCell ref="C17:D18"/>
    <mergeCell ref="E17:E18"/>
    <mergeCell ref="F17:F18"/>
    <mergeCell ref="H17:I17"/>
    <mergeCell ref="J17:K17"/>
    <mergeCell ref="L19:L20"/>
    <mergeCell ref="L21:L23"/>
    <mergeCell ref="C19:C20"/>
    <mergeCell ref="D19:D20"/>
    <mergeCell ref="H19:H20"/>
    <mergeCell ref="I19:I20"/>
    <mergeCell ref="K19:K20"/>
    <mergeCell ref="C21:C23"/>
    <mergeCell ref="I24:I25"/>
    <mergeCell ref="K24:K25"/>
    <mergeCell ref="H21:H23"/>
    <mergeCell ref="I21:I23"/>
    <mergeCell ref="K21:K23"/>
    <mergeCell ref="B32:C32"/>
    <mergeCell ref="C28:E28"/>
    <mergeCell ref="C24:C25"/>
    <mergeCell ref="D24:D25"/>
    <mergeCell ref="H24:H25"/>
    <mergeCell ref="J28:L28"/>
    <mergeCell ref="B30:C30"/>
    <mergeCell ref="B31:C31"/>
    <mergeCell ref="J30:L30"/>
    <mergeCell ref="C26:C27"/>
    <mergeCell ref="D26:D27"/>
    <mergeCell ref="H26:H27"/>
    <mergeCell ref="I26:I27"/>
    <mergeCell ref="K26:K27"/>
    <mergeCell ref="L26:L27"/>
  </mergeCells>
  <pageMargins left="0" right="0" top="0" bottom="0" header="0" footer="0"/>
  <pageSetup paperSize="9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A8CC3-5F12-4558-88BA-C48FEF7C938C}">
  <sheetPr codeName="Feuil38">
    <tabColor rgb="FF7030A0"/>
  </sheetPr>
  <dimension ref="B7:M37"/>
  <sheetViews>
    <sheetView showGridLines="0" workbookViewId="0">
      <selection activeCell="B36" sqref="B36:L37"/>
    </sheetView>
  </sheetViews>
  <sheetFormatPr baseColWidth="10" defaultColWidth="10.88671875" defaultRowHeight="14.4"/>
  <cols>
    <col min="1" max="1" width="8.44140625" style="5" customWidth="1"/>
    <col min="2" max="2" width="10.88671875" style="5"/>
    <col min="3" max="3" width="8.88671875" style="5" customWidth="1"/>
    <col min="4" max="4" width="15.109375" style="5" customWidth="1"/>
    <col min="5" max="5" width="29.33203125" style="5" customWidth="1"/>
    <col min="6" max="6" width="10.44140625" style="5" customWidth="1"/>
    <col min="7" max="7" width="7.88671875" style="5" customWidth="1"/>
    <col min="8" max="8" width="7" style="5" customWidth="1"/>
    <col min="9" max="9" width="7.44140625" style="5" customWidth="1"/>
    <col min="10" max="10" width="10.109375" style="5" customWidth="1"/>
    <col min="11" max="11" width="9.6640625" style="5" customWidth="1"/>
    <col min="12" max="12" width="9.5546875" style="5" customWidth="1"/>
    <col min="13" max="16384" width="10.88671875" style="5"/>
  </cols>
  <sheetData>
    <row r="7" spans="2:12" ht="18" customHeight="1">
      <c r="B7" s="460" t="s">
        <v>35</v>
      </c>
      <c r="C7" s="437"/>
      <c r="D7" s="437"/>
      <c r="E7" s="437"/>
      <c r="F7" s="437"/>
      <c r="G7" s="437"/>
      <c r="H7" s="437"/>
      <c r="I7" s="437"/>
      <c r="J7" s="437"/>
      <c r="K7" s="437"/>
      <c r="L7" s="438"/>
    </row>
    <row r="8" spans="2:12" s="13" customFormat="1" ht="18" customHeight="1"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</row>
    <row r="9" spans="2:12" ht="27.6">
      <c r="B9" s="6" t="s">
        <v>36</v>
      </c>
      <c r="C9" s="291" t="e">
        <f>'SEMESTRE N°1'!#REF!</f>
        <v>#REF!</v>
      </c>
      <c r="D9" s="291"/>
      <c r="E9" s="291"/>
      <c r="F9" s="6" t="s">
        <v>37</v>
      </c>
      <c r="G9" s="294" t="str">
        <f>B37</f>
        <v>Licence Pro. Informatique-1ère année Tronc commun</v>
      </c>
      <c r="H9" s="294"/>
      <c r="I9" s="294"/>
      <c r="J9" s="294"/>
      <c r="K9" s="294"/>
      <c r="L9" s="294"/>
    </row>
    <row r="10" spans="2:12" ht="14.4" customHeight="1">
      <c r="B10" s="246" t="s">
        <v>38</v>
      </c>
      <c r="C10" s="246"/>
      <c r="D10" s="328" t="e">
        <f>'SEMESTRE N°1'!#REF!</f>
        <v>#REF!</v>
      </c>
      <c r="E10" s="328"/>
      <c r="F10" s="6" t="s">
        <v>29</v>
      </c>
      <c r="G10" s="294" t="e">
        <f>'SEMESTRE N°1'!#REF!</f>
        <v>#REF!</v>
      </c>
      <c r="H10" s="294"/>
      <c r="I10" s="294"/>
      <c r="J10" s="294"/>
      <c r="K10" s="294"/>
      <c r="L10" s="294"/>
    </row>
    <row r="11" spans="2:12">
      <c r="B11" s="6" t="s">
        <v>39</v>
      </c>
      <c r="C11" s="291" t="e">
        <f>'SEMESTRE N°1'!#REF!</f>
        <v>#REF!</v>
      </c>
      <c r="D11" s="291"/>
      <c r="E11" s="291"/>
      <c r="F11" s="6" t="s">
        <v>40</v>
      </c>
      <c r="G11" s="249"/>
      <c r="H11" s="249"/>
      <c r="I11" s="249"/>
      <c r="J11" s="249"/>
      <c r="K11" s="249"/>
      <c r="L11" s="249"/>
    </row>
    <row r="12" spans="2:12">
      <c r="B12" s="6" t="s">
        <v>41</v>
      </c>
      <c r="C12" s="305" t="e">
        <f>'SEMESTRE N°1'!#REF!</f>
        <v>#REF!</v>
      </c>
      <c r="D12" s="305"/>
      <c r="E12" s="331"/>
      <c r="F12" s="6" t="s">
        <v>42</v>
      </c>
      <c r="G12" s="278"/>
      <c r="H12" s="278"/>
      <c r="I12" s="278"/>
      <c r="J12" s="278"/>
      <c r="K12" s="278"/>
      <c r="L12" s="278"/>
    </row>
    <row r="13" spans="2:12">
      <c r="B13" s="281" t="s">
        <v>43</v>
      </c>
      <c r="C13" s="281"/>
      <c r="D13" s="281"/>
      <c r="E13" s="282" t="s">
        <v>17</v>
      </c>
      <c r="F13" s="283"/>
      <c r="G13" s="240" t="s">
        <v>44</v>
      </c>
      <c r="H13" s="240"/>
      <c r="I13" s="240"/>
      <c r="J13" s="240"/>
      <c r="K13" s="240"/>
      <c r="L13" s="240"/>
    </row>
    <row r="14" spans="2:12">
      <c r="B14" s="281"/>
      <c r="C14" s="281"/>
      <c r="D14" s="281"/>
      <c r="E14" s="282"/>
      <c r="F14" s="283"/>
      <c r="G14" s="240" t="s">
        <v>45</v>
      </c>
      <c r="H14" s="240"/>
      <c r="I14" s="240"/>
      <c r="J14" s="7" t="s">
        <v>46</v>
      </c>
      <c r="K14" s="7"/>
      <c r="L14" s="240" t="s">
        <v>47</v>
      </c>
    </row>
    <row r="15" spans="2:12">
      <c r="B15" s="233" t="s">
        <v>48</v>
      </c>
      <c r="C15" s="273" t="s">
        <v>49</v>
      </c>
      <c r="D15" s="273"/>
      <c r="E15" s="272" t="s">
        <v>49</v>
      </c>
      <c r="F15" s="272" t="s">
        <v>50</v>
      </c>
      <c r="G15" s="2" t="s">
        <v>51</v>
      </c>
      <c r="H15" s="272" t="s">
        <v>52</v>
      </c>
      <c r="I15" s="272"/>
      <c r="J15" s="272" t="s">
        <v>17</v>
      </c>
      <c r="K15" s="272"/>
      <c r="L15" s="240"/>
    </row>
    <row r="16" spans="2:12">
      <c r="B16" s="234"/>
      <c r="C16" s="272"/>
      <c r="D16" s="274"/>
      <c r="E16" s="272"/>
      <c r="F16" s="272"/>
      <c r="G16" s="60" t="s">
        <v>53</v>
      </c>
      <c r="H16" s="60" t="s">
        <v>53</v>
      </c>
      <c r="I16" s="60" t="s">
        <v>50</v>
      </c>
      <c r="J16" s="60" t="s">
        <v>53</v>
      </c>
      <c r="K16" s="60" t="s">
        <v>50</v>
      </c>
      <c r="L16" s="240"/>
    </row>
    <row r="17" spans="2:12" ht="17.399999999999999" customHeight="1">
      <c r="B17" s="234"/>
      <c r="C17" s="450" t="s">
        <v>54</v>
      </c>
      <c r="D17" s="451" t="s">
        <v>55</v>
      </c>
      <c r="E17" s="8" t="s">
        <v>56</v>
      </c>
      <c r="F17" s="9">
        <v>3</v>
      </c>
      <c r="G17" s="4" t="e">
        <f>'SEMESTRE N°1'!#REF!</f>
        <v>#REF!</v>
      </c>
      <c r="H17" s="453" t="e">
        <f>ROUND((F17*G17+F18*G18)/(F17+F18),2)</f>
        <v>#REF!</v>
      </c>
      <c r="I17" s="453" t="e">
        <f>IF(H17&gt;9.99,(F17+F18),0)</f>
        <v>#REF!</v>
      </c>
      <c r="J17" s="10"/>
      <c r="K17" s="447"/>
      <c r="L17" s="448" t="e">
        <f>IF(H17&gt;10,"Validé","Non validé")</f>
        <v>#REF!</v>
      </c>
    </row>
    <row r="18" spans="2:12" ht="18.899999999999999" customHeight="1">
      <c r="B18" s="234"/>
      <c r="C18" s="450"/>
      <c r="D18" s="269"/>
      <c r="E18" s="8" t="s">
        <v>57</v>
      </c>
      <c r="F18" s="9">
        <v>3</v>
      </c>
      <c r="G18" s="4" t="e">
        <f>'SEMESTRE N°1'!#REF!</f>
        <v>#REF!</v>
      </c>
      <c r="H18" s="454"/>
      <c r="I18" s="453"/>
      <c r="J18" s="10"/>
      <c r="K18" s="372"/>
      <c r="L18" s="449"/>
    </row>
    <row r="19" spans="2:12">
      <c r="B19" s="234"/>
      <c r="C19" s="455" t="s">
        <v>58</v>
      </c>
      <c r="D19" s="451" t="s">
        <v>59</v>
      </c>
      <c r="E19" s="8" t="s">
        <v>60</v>
      </c>
      <c r="F19" s="9">
        <v>5</v>
      </c>
      <c r="G19" s="4" t="e">
        <f>'SEMESTRE N°1'!#REF!</f>
        <v>#REF!</v>
      </c>
      <c r="H19" s="453" t="e">
        <f>ROUND((F19*G19+F20*G20+F21*G21)/(F19+F20+F21),2)</f>
        <v>#REF!</v>
      </c>
      <c r="I19" s="453" t="e">
        <f>IF(H19&gt;9.99,(F19+F20+F21),0)</f>
        <v>#REF!</v>
      </c>
      <c r="J19" s="10"/>
      <c r="K19" s="447"/>
      <c r="L19" s="448" t="e">
        <f>IF(H19&gt;10,"Validé","Non validé")</f>
        <v>#REF!</v>
      </c>
    </row>
    <row r="20" spans="2:12">
      <c r="B20" s="234"/>
      <c r="C20" s="455"/>
      <c r="D20" s="458"/>
      <c r="E20" s="8" t="s">
        <v>61</v>
      </c>
      <c r="F20" s="9">
        <v>3</v>
      </c>
      <c r="G20" s="4" t="e">
        <f>'SEMESTRE N°1'!#REF!</f>
        <v>#REF!</v>
      </c>
      <c r="H20" s="454"/>
      <c r="I20" s="453"/>
      <c r="J20" s="10"/>
      <c r="K20" s="459"/>
      <c r="L20" s="456"/>
    </row>
    <row r="21" spans="2:12" ht="15" customHeight="1">
      <c r="B21" s="234"/>
      <c r="C21" s="455"/>
      <c r="D21" s="452"/>
      <c r="E21" s="8" t="s">
        <v>62</v>
      </c>
      <c r="F21" s="9">
        <v>3</v>
      </c>
      <c r="G21" s="4" t="e">
        <f>'SEMESTRE N°1'!#REF!</f>
        <v>#REF!</v>
      </c>
      <c r="H21" s="454"/>
      <c r="I21" s="453"/>
      <c r="J21" s="10"/>
      <c r="K21" s="372"/>
      <c r="L21" s="457"/>
    </row>
    <row r="22" spans="2:12" ht="18.600000000000001" customHeight="1">
      <c r="B22" s="234"/>
      <c r="C22" s="450" t="s">
        <v>63</v>
      </c>
      <c r="D22" s="451" t="s">
        <v>64</v>
      </c>
      <c r="E22" s="8" t="s">
        <v>65</v>
      </c>
      <c r="F22" s="9">
        <v>4</v>
      </c>
      <c r="G22" s="4" t="e">
        <f>'SEMESTRE N°1'!#REF!</f>
        <v>#REF!</v>
      </c>
      <c r="H22" s="453" t="e">
        <f>ROUND((G22*F22+G23*F23)/(F22+F23),2)</f>
        <v>#REF!</v>
      </c>
      <c r="I22" s="453" t="e">
        <f>IF(H22&gt;9.99,(F22+F23),0)</f>
        <v>#REF!</v>
      </c>
      <c r="J22" s="10"/>
      <c r="K22" s="447"/>
      <c r="L22" s="448" t="e">
        <f>IF(H22&gt;9.99,"Validé","Non validé")</f>
        <v>#REF!</v>
      </c>
    </row>
    <row r="23" spans="2:12" ht="19.5" customHeight="1">
      <c r="B23" s="234"/>
      <c r="C23" s="450"/>
      <c r="D23" s="452"/>
      <c r="E23" s="8" t="s">
        <v>66</v>
      </c>
      <c r="F23" s="9">
        <v>4</v>
      </c>
      <c r="G23" s="4" t="e">
        <f>'SEMESTRE N°1'!#REF!</f>
        <v>#REF!</v>
      </c>
      <c r="H23" s="454"/>
      <c r="I23" s="453"/>
      <c r="J23" s="10"/>
      <c r="K23" s="372"/>
      <c r="L23" s="449"/>
    </row>
    <row r="24" spans="2:12" ht="17.399999999999999" customHeight="1">
      <c r="B24" s="234"/>
      <c r="C24" s="455" t="s">
        <v>67</v>
      </c>
      <c r="D24" s="451" t="s">
        <v>68</v>
      </c>
      <c r="E24" s="8" t="s">
        <v>69</v>
      </c>
      <c r="F24" s="9">
        <v>2</v>
      </c>
      <c r="G24" s="4" t="e">
        <f>'SEMESTRE N°1'!#REF!</f>
        <v>#REF!</v>
      </c>
      <c r="H24" s="453" t="e">
        <f>ROUND((G24*F24+G25*F25)/(F24+F25),2)</f>
        <v>#REF!</v>
      </c>
      <c r="I24" s="453" t="e">
        <f>IF(H24&gt;9.99,(F24+F25),0)</f>
        <v>#REF!</v>
      </c>
      <c r="J24" s="10"/>
      <c r="K24" s="447"/>
      <c r="L24" s="448" t="e">
        <f>IF(H24&gt;0,"Validé","Non validé")</f>
        <v>#REF!</v>
      </c>
    </row>
    <row r="25" spans="2:12" ht="24.6" customHeight="1">
      <c r="B25" s="234"/>
      <c r="C25" s="455"/>
      <c r="D25" s="452"/>
      <c r="E25" s="8" t="s">
        <v>70</v>
      </c>
      <c r="F25" s="9">
        <v>3</v>
      </c>
      <c r="G25" s="4" t="e">
        <f>'SEMESTRE N°1'!#REF!</f>
        <v>#REF!</v>
      </c>
      <c r="H25" s="454"/>
      <c r="I25" s="453"/>
      <c r="J25" s="10"/>
      <c r="K25" s="372"/>
      <c r="L25" s="449"/>
    </row>
    <row r="26" spans="2:12">
      <c r="B26" s="234"/>
      <c r="C26" s="284" t="s">
        <v>71</v>
      </c>
      <c r="D26" s="285"/>
      <c r="E26" s="284"/>
      <c r="F26" s="19">
        <f>F17+F18+F19+F20+F21+F22+F23+F24+F25</f>
        <v>30</v>
      </c>
      <c r="G26" s="3"/>
      <c r="H26" s="58" t="e">
        <f>ROUND((H17+H19+H22+H24)/4,2)</f>
        <v>#REF!</v>
      </c>
      <c r="I26" s="20" t="e">
        <f>I24+I22+I19+I17</f>
        <v>#REF!</v>
      </c>
      <c r="J26" s="445"/>
      <c r="K26" s="445"/>
      <c r="L26" s="446"/>
    </row>
    <row r="27" spans="2:12">
      <c r="C27" s="11"/>
      <c r="G27" s="11"/>
    </row>
    <row r="28" spans="2:12" ht="18">
      <c r="B28" s="392" t="s">
        <v>72</v>
      </c>
      <c r="C28" s="393"/>
      <c r="D28" s="21" t="e">
        <f>I17+I19+I22+I24</f>
        <v>#REF!</v>
      </c>
      <c r="E28" s="12"/>
      <c r="F28" s="13"/>
      <c r="G28" s="14"/>
      <c r="H28" s="15"/>
      <c r="I28" s="15"/>
      <c r="J28" s="398" t="s">
        <v>73</v>
      </c>
      <c r="K28" s="398"/>
      <c r="L28" s="398"/>
    </row>
    <row r="29" spans="2:12">
      <c r="B29" s="394" t="s">
        <v>74</v>
      </c>
      <c r="C29" s="395"/>
      <c r="D29" s="22" t="e">
        <f>IF(D28=F26,"Semestre validé","Semestre non validé")</f>
        <v>#REF!</v>
      </c>
      <c r="E29" s="13"/>
      <c r="F29" s="13"/>
      <c r="G29" s="16"/>
      <c r="K29" s="13"/>
      <c r="L29" s="13"/>
    </row>
    <row r="30" spans="2:12">
      <c r="B30" s="394" t="s">
        <v>75</v>
      </c>
      <c r="C30" s="395"/>
      <c r="D30" s="1">
        <v>0</v>
      </c>
      <c r="E30" s="13"/>
      <c r="F30" s="13"/>
      <c r="G30" s="16"/>
      <c r="H30" s="13"/>
      <c r="I30" s="13"/>
      <c r="J30" s="13"/>
    </row>
    <row r="31" spans="2:12">
      <c r="C31" s="16"/>
      <c r="D31" s="13"/>
      <c r="E31" s="13"/>
      <c r="F31" s="13"/>
      <c r="G31" s="16"/>
      <c r="H31" s="13"/>
      <c r="I31" s="13"/>
      <c r="J31" s="13"/>
    </row>
    <row r="32" spans="2:12" ht="18">
      <c r="C32" s="16"/>
      <c r="D32" s="13"/>
      <c r="E32" s="13"/>
      <c r="F32" s="13"/>
      <c r="G32" s="17"/>
      <c r="H32" s="13"/>
      <c r="I32" s="13"/>
      <c r="J32" s="13"/>
    </row>
    <row r="33" spans="2:13" ht="18">
      <c r="C33" s="11"/>
      <c r="G33" s="461" t="s">
        <v>76</v>
      </c>
      <c r="H33" s="461"/>
      <c r="I33" s="461"/>
      <c r="J33" s="461"/>
      <c r="K33" s="461"/>
      <c r="L33" s="461"/>
      <c r="M33" s="461"/>
    </row>
    <row r="34" spans="2:13">
      <c r="C34" s="11"/>
      <c r="G34" s="11"/>
    </row>
    <row r="35" spans="2:13">
      <c r="B35" s="442" t="s">
        <v>77</v>
      </c>
      <c r="C35" s="443"/>
      <c r="D35" s="443"/>
      <c r="E35" s="443"/>
      <c r="F35" s="443"/>
      <c r="G35" s="443"/>
      <c r="H35" s="443"/>
      <c r="I35" s="443"/>
      <c r="J35" s="443"/>
      <c r="K35" s="443"/>
      <c r="L35" s="443"/>
    </row>
    <row r="36" spans="2:13">
      <c r="B36" s="443"/>
      <c r="C36" s="443"/>
      <c r="D36" s="443"/>
      <c r="E36" s="443"/>
      <c r="F36" s="443"/>
      <c r="G36" s="443"/>
      <c r="H36" s="443"/>
      <c r="I36" s="443"/>
      <c r="J36" s="443"/>
      <c r="K36" s="443"/>
      <c r="L36" s="443"/>
    </row>
    <row r="37" spans="2:13" hidden="1">
      <c r="B37" s="18" t="s">
        <v>78</v>
      </c>
    </row>
  </sheetData>
  <sheetProtection algorithmName="SHA-512" hashValue="r2wdlUB7mbONCHW/MPyAJiCSny0uVCQf1zoKeaOR3n3WMdXu5d+qcdX4gNEYsCgxsLjCgd5PoStb2JxUH/LgQA==" saltValue="8hg2VWK78Xe/0ykdMc03Kg==" spinCount="100000" sheet="1" objects="1" scenarios="1"/>
  <mergeCells count="53">
    <mergeCell ref="G14:I14"/>
    <mergeCell ref="D19:D21"/>
    <mergeCell ref="G33:M33"/>
    <mergeCell ref="B35:L36"/>
    <mergeCell ref="B7:L7"/>
    <mergeCell ref="C9:E9"/>
    <mergeCell ref="G9:L9"/>
    <mergeCell ref="B10:C10"/>
    <mergeCell ref="D10:E10"/>
    <mergeCell ref="G10:L10"/>
    <mergeCell ref="C11:E11"/>
    <mergeCell ref="G11:L11"/>
    <mergeCell ref="C12:E12"/>
    <mergeCell ref="G12:L12"/>
    <mergeCell ref="B13:D14"/>
    <mergeCell ref="E13:F14"/>
    <mergeCell ref="G13:L13"/>
    <mergeCell ref="L22:L23"/>
    <mergeCell ref="L14:L16"/>
    <mergeCell ref="B15:B26"/>
    <mergeCell ref="C15:D16"/>
    <mergeCell ref="E15:E16"/>
    <mergeCell ref="F15:F16"/>
    <mergeCell ref="H15:I15"/>
    <mergeCell ref="J15:K15"/>
    <mergeCell ref="L17:L18"/>
    <mergeCell ref="L19:L21"/>
    <mergeCell ref="C17:C18"/>
    <mergeCell ref="D17:D18"/>
    <mergeCell ref="H17:H18"/>
    <mergeCell ref="I17:I18"/>
    <mergeCell ref="K17:K18"/>
    <mergeCell ref="C19:C21"/>
    <mergeCell ref="I22:I23"/>
    <mergeCell ref="K22:K23"/>
    <mergeCell ref="H19:H21"/>
    <mergeCell ref="I19:I21"/>
    <mergeCell ref="K19:K21"/>
    <mergeCell ref="B30:C30"/>
    <mergeCell ref="C26:E26"/>
    <mergeCell ref="C22:C23"/>
    <mergeCell ref="D22:D23"/>
    <mergeCell ref="H22:H23"/>
    <mergeCell ref="J26:L26"/>
    <mergeCell ref="B28:C28"/>
    <mergeCell ref="B29:C29"/>
    <mergeCell ref="J28:L28"/>
    <mergeCell ref="C24:C25"/>
    <mergeCell ref="D24:D25"/>
    <mergeCell ref="H24:H25"/>
    <mergeCell ref="I24:I25"/>
    <mergeCell ref="K24:K25"/>
    <mergeCell ref="L24:L25"/>
  </mergeCells>
  <pageMargins left="0" right="0" top="0" bottom="0" header="0" footer="0"/>
  <pageSetup paperSize="9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6F014-3073-45F6-A61E-FC51ACCD13F6}">
  <sheetPr codeName="Feuil39">
    <tabColor rgb="FF7030A0"/>
  </sheetPr>
  <dimension ref="B7:M37"/>
  <sheetViews>
    <sheetView showGridLines="0" topLeftCell="A4" workbookViewId="0">
      <selection activeCell="B36" sqref="B36:L37"/>
    </sheetView>
  </sheetViews>
  <sheetFormatPr baseColWidth="10" defaultColWidth="10.88671875" defaultRowHeight="14.4"/>
  <cols>
    <col min="1" max="1" width="8.109375" style="5" customWidth="1"/>
    <col min="2" max="2" width="10.88671875" style="5"/>
    <col min="3" max="3" width="8.88671875" style="5" customWidth="1"/>
    <col min="4" max="4" width="14.88671875" style="5" customWidth="1"/>
    <col min="5" max="5" width="29.44140625" style="5" customWidth="1"/>
    <col min="6" max="6" width="10.33203125" style="5" customWidth="1"/>
    <col min="7" max="7" width="7.88671875" style="5" customWidth="1"/>
    <col min="8" max="8" width="7" style="5" customWidth="1"/>
    <col min="9" max="9" width="7.44140625" style="5" customWidth="1"/>
    <col min="10" max="10" width="10.109375" style="5" customWidth="1"/>
    <col min="11" max="11" width="9.6640625" style="5" customWidth="1"/>
    <col min="12" max="12" width="9.5546875" style="5" customWidth="1"/>
    <col min="13" max="16384" width="10.88671875" style="5"/>
  </cols>
  <sheetData>
    <row r="7" spans="2:12" ht="18" customHeight="1">
      <c r="B7" s="460" t="s">
        <v>35</v>
      </c>
      <c r="C7" s="437"/>
      <c r="D7" s="437"/>
      <c r="E7" s="437"/>
      <c r="F7" s="437"/>
      <c r="G7" s="437"/>
      <c r="H7" s="437"/>
      <c r="I7" s="437"/>
      <c r="J7" s="437"/>
      <c r="K7" s="437"/>
      <c r="L7" s="438"/>
    </row>
    <row r="8" spans="2:12" s="13" customFormat="1" ht="18" customHeight="1"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</row>
    <row r="9" spans="2:12" ht="27.6">
      <c r="B9" s="6" t="s">
        <v>36</v>
      </c>
      <c r="C9" s="291" t="e">
        <f>'SEMESTRE N°1'!#REF!</f>
        <v>#REF!</v>
      </c>
      <c r="D9" s="292"/>
      <c r="E9" s="292"/>
      <c r="F9" s="6" t="s">
        <v>37</v>
      </c>
      <c r="G9" s="294" t="str">
        <f>B37</f>
        <v>Licence Pro. Informatique-1ère année Tronc commun</v>
      </c>
      <c r="H9" s="294"/>
      <c r="I9" s="294"/>
      <c r="J9" s="294"/>
      <c r="K9" s="294"/>
      <c r="L9" s="294"/>
    </row>
    <row r="10" spans="2:12">
      <c r="B10" s="246" t="s">
        <v>38</v>
      </c>
      <c r="C10" s="246"/>
      <c r="D10" s="328" t="e">
        <f>'SEMESTRE N°1'!#REF!</f>
        <v>#REF!</v>
      </c>
      <c r="E10" s="329"/>
      <c r="F10" s="6" t="s">
        <v>29</v>
      </c>
      <c r="G10" s="294" t="e">
        <f>'SEMESTRE N°1'!#REF!</f>
        <v>#REF!</v>
      </c>
      <c r="H10" s="294"/>
      <c r="I10" s="294"/>
      <c r="J10" s="294"/>
      <c r="K10" s="294"/>
      <c r="L10" s="294"/>
    </row>
    <row r="11" spans="2:12">
      <c r="B11" s="6" t="s">
        <v>39</v>
      </c>
      <c r="C11" s="291" t="e">
        <f>'SEMESTRE N°1'!#REF!</f>
        <v>#REF!</v>
      </c>
      <c r="D11" s="292"/>
      <c r="E11" s="292"/>
      <c r="F11" s="6" t="s">
        <v>40</v>
      </c>
      <c r="G11" s="249"/>
      <c r="H11" s="249"/>
      <c r="I11" s="249"/>
      <c r="J11" s="249"/>
      <c r="K11" s="249"/>
      <c r="L11" s="249"/>
    </row>
    <row r="12" spans="2:12">
      <c r="B12" s="6" t="s">
        <v>41</v>
      </c>
      <c r="C12" s="305" t="e">
        <f>'SEMESTRE N°1'!#REF!</f>
        <v>#REF!</v>
      </c>
      <c r="D12" s="294"/>
      <c r="E12" s="294"/>
      <c r="F12" s="6" t="s">
        <v>42</v>
      </c>
      <c r="G12" s="249"/>
      <c r="H12" s="249"/>
      <c r="I12" s="249"/>
      <c r="J12" s="249"/>
      <c r="K12" s="249"/>
      <c r="L12" s="249"/>
    </row>
    <row r="13" spans="2:12">
      <c r="B13" s="281" t="s">
        <v>43</v>
      </c>
      <c r="C13" s="281"/>
      <c r="D13" s="281"/>
      <c r="E13" s="282" t="s">
        <v>17</v>
      </c>
      <c r="F13" s="283"/>
      <c r="G13" s="240" t="s">
        <v>44</v>
      </c>
      <c r="H13" s="240"/>
      <c r="I13" s="240"/>
      <c r="J13" s="240"/>
      <c r="K13" s="240"/>
      <c r="L13" s="240"/>
    </row>
    <row r="14" spans="2:12">
      <c r="B14" s="281"/>
      <c r="C14" s="281"/>
      <c r="D14" s="281"/>
      <c r="E14" s="282"/>
      <c r="F14" s="283"/>
      <c r="G14" s="240" t="s">
        <v>45</v>
      </c>
      <c r="H14" s="240"/>
      <c r="I14" s="240"/>
      <c r="J14" s="7" t="s">
        <v>46</v>
      </c>
      <c r="K14" s="7"/>
      <c r="L14" s="240" t="s">
        <v>47</v>
      </c>
    </row>
    <row r="15" spans="2:12">
      <c r="B15" s="233" t="s">
        <v>48</v>
      </c>
      <c r="C15" s="273" t="s">
        <v>49</v>
      </c>
      <c r="D15" s="273"/>
      <c r="E15" s="272" t="s">
        <v>49</v>
      </c>
      <c r="F15" s="272" t="s">
        <v>50</v>
      </c>
      <c r="G15" s="2" t="s">
        <v>51</v>
      </c>
      <c r="H15" s="272" t="s">
        <v>52</v>
      </c>
      <c r="I15" s="272"/>
      <c r="J15" s="272" t="s">
        <v>17</v>
      </c>
      <c r="K15" s="272"/>
      <c r="L15" s="240"/>
    </row>
    <row r="16" spans="2:12">
      <c r="B16" s="234"/>
      <c r="C16" s="272"/>
      <c r="D16" s="274"/>
      <c r="E16" s="272"/>
      <c r="F16" s="272"/>
      <c r="G16" s="60" t="s">
        <v>53</v>
      </c>
      <c r="H16" s="60" t="s">
        <v>53</v>
      </c>
      <c r="I16" s="60" t="s">
        <v>50</v>
      </c>
      <c r="J16" s="60" t="s">
        <v>53</v>
      </c>
      <c r="K16" s="60" t="s">
        <v>50</v>
      </c>
      <c r="L16" s="240"/>
    </row>
    <row r="17" spans="2:12" ht="17.399999999999999" customHeight="1">
      <c r="B17" s="234"/>
      <c r="C17" s="450" t="s">
        <v>54</v>
      </c>
      <c r="D17" s="451" t="s">
        <v>55</v>
      </c>
      <c r="E17" s="8" t="s">
        <v>56</v>
      </c>
      <c r="F17" s="9">
        <v>3</v>
      </c>
      <c r="G17" s="4" t="e">
        <f>'SEMESTRE N°1'!#REF!</f>
        <v>#REF!</v>
      </c>
      <c r="H17" s="453" t="e">
        <f>ROUND((F17*G17+F18*G18)/(F17+F18),2)</f>
        <v>#REF!</v>
      </c>
      <c r="I17" s="453" t="e">
        <f>IF(H17&gt;9.99,(F17+F18),0)</f>
        <v>#REF!</v>
      </c>
      <c r="J17" s="10"/>
      <c r="K17" s="447"/>
      <c r="L17" s="448" t="e">
        <f>IF(H17&gt;10,"Validé","Non validé")</f>
        <v>#REF!</v>
      </c>
    </row>
    <row r="18" spans="2:12" ht="18.899999999999999" customHeight="1">
      <c r="B18" s="234"/>
      <c r="C18" s="450"/>
      <c r="D18" s="269"/>
      <c r="E18" s="8" t="s">
        <v>57</v>
      </c>
      <c r="F18" s="9">
        <v>3</v>
      </c>
      <c r="G18" s="4" t="e">
        <f>'SEMESTRE N°1'!#REF!</f>
        <v>#REF!</v>
      </c>
      <c r="H18" s="454"/>
      <c r="I18" s="453"/>
      <c r="J18" s="10"/>
      <c r="K18" s="372"/>
      <c r="L18" s="449"/>
    </row>
    <row r="19" spans="2:12">
      <c r="B19" s="234"/>
      <c r="C19" s="455" t="s">
        <v>58</v>
      </c>
      <c r="D19" s="451" t="s">
        <v>59</v>
      </c>
      <c r="E19" s="8" t="s">
        <v>60</v>
      </c>
      <c r="F19" s="9">
        <v>5</v>
      </c>
      <c r="G19" s="4" t="e">
        <f>'SEMESTRE N°1'!#REF!</f>
        <v>#REF!</v>
      </c>
      <c r="H19" s="453" t="e">
        <f>ROUND((F19*G19+F20*G20+F21*G21)/(F19+F20+F21),2)</f>
        <v>#REF!</v>
      </c>
      <c r="I19" s="453" t="e">
        <f>IF(H19&gt;9.99,(F19+F20+F21),0)</f>
        <v>#REF!</v>
      </c>
      <c r="J19" s="10"/>
      <c r="K19" s="447"/>
      <c r="L19" s="448" t="e">
        <f>IF(H19&gt;10,"Validé","Non validé")</f>
        <v>#REF!</v>
      </c>
    </row>
    <row r="20" spans="2:12">
      <c r="B20" s="234"/>
      <c r="C20" s="455"/>
      <c r="D20" s="458"/>
      <c r="E20" s="8" t="s">
        <v>61</v>
      </c>
      <c r="F20" s="9">
        <v>3</v>
      </c>
      <c r="G20" s="4" t="e">
        <f>'SEMESTRE N°1'!#REF!</f>
        <v>#REF!</v>
      </c>
      <c r="H20" s="454"/>
      <c r="I20" s="453"/>
      <c r="J20" s="10"/>
      <c r="K20" s="459"/>
      <c r="L20" s="456"/>
    </row>
    <row r="21" spans="2:12" ht="15" customHeight="1">
      <c r="B21" s="234"/>
      <c r="C21" s="455"/>
      <c r="D21" s="462"/>
      <c r="E21" s="8" t="s">
        <v>62</v>
      </c>
      <c r="F21" s="9">
        <v>3</v>
      </c>
      <c r="G21" s="4" t="e">
        <f>'SEMESTRE N°1'!#REF!</f>
        <v>#REF!</v>
      </c>
      <c r="H21" s="454"/>
      <c r="I21" s="453"/>
      <c r="J21" s="10"/>
      <c r="K21" s="372"/>
      <c r="L21" s="457"/>
    </row>
    <row r="22" spans="2:12" ht="18.600000000000001" customHeight="1">
      <c r="B22" s="234"/>
      <c r="C22" s="450" t="s">
        <v>63</v>
      </c>
      <c r="D22" s="451" t="s">
        <v>64</v>
      </c>
      <c r="E22" s="8" t="s">
        <v>65</v>
      </c>
      <c r="F22" s="9">
        <v>4</v>
      </c>
      <c r="G22" s="4" t="e">
        <f>'SEMESTRE N°1'!#REF!</f>
        <v>#REF!</v>
      </c>
      <c r="H22" s="453" t="e">
        <f>ROUND((G22*F22+G23*F23)/(F22+F23),2)</f>
        <v>#REF!</v>
      </c>
      <c r="I22" s="453" t="e">
        <f>IF(H22&gt;9.99,(F22+F23),0)</f>
        <v>#REF!</v>
      </c>
      <c r="J22" s="10"/>
      <c r="K22" s="447"/>
      <c r="L22" s="448" t="e">
        <f>IF(H22&gt;9.99,"Validé","Non validé")</f>
        <v>#REF!</v>
      </c>
    </row>
    <row r="23" spans="2:12" ht="19.5" customHeight="1">
      <c r="B23" s="234"/>
      <c r="C23" s="450"/>
      <c r="D23" s="462"/>
      <c r="E23" s="8" t="s">
        <v>66</v>
      </c>
      <c r="F23" s="9">
        <v>4</v>
      </c>
      <c r="G23" s="4" t="e">
        <f>'SEMESTRE N°1'!#REF!</f>
        <v>#REF!</v>
      </c>
      <c r="H23" s="454"/>
      <c r="I23" s="453"/>
      <c r="J23" s="10"/>
      <c r="K23" s="372"/>
      <c r="L23" s="449"/>
    </row>
    <row r="24" spans="2:12" ht="17.399999999999999" customHeight="1">
      <c r="B24" s="234"/>
      <c r="C24" s="455" t="s">
        <v>67</v>
      </c>
      <c r="D24" s="451" t="s">
        <v>68</v>
      </c>
      <c r="E24" s="8" t="s">
        <v>69</v>
      </c>
      <c r="F24" s="9">
        <v>2</v>
      </c>
      <c r="G24" s="4" t="e">
        <f>'SEMESTRE N°1'!#REF!</f>
        <v>#REF!</v>
      </c>
      <c r="H24" s="453" t="e">
        <f>ROUND((G24*F24+G25*F25)/(F24+F25),2)</f>
        <v>#REF!</v>
      </c>
      <c r="I24" s="453" t="e">
        <f>IF(H24&gt;9.99,(F24+F25),0)</f>
        <v>#REF!</v>
      </c>
      <c r="J24" s="10"/>
      <c r="K24" s="447"/>
      <c r="L24" s="448" t="e">
        <f>IF(H24&gt;0,"Validé","Non validé")</f>
        <v>#REF!</v>
      </c>
    </row>
    <row r="25" spans="2:12" ht="24.6" customHeight="1">
      <c r="B25" s="234"/>
      <c r="C25" s="455"/>
      <c r="D25" s="452"/>
      <c r="E25" s="8" t="s">
        <v>70</v>
      </c>
      <c r="F25" s="9">
        <v>3</v>
      </c>
      <c r="G25" s="4" t="e">
        <f>'SEMESTRE N°1'!#REF!</f>
        <v>#REF!</v>
      </c>
      <c r="H25" s="454"/>
      <c r="I25" s="453"/>
      <c r="J25" s="10"/>
      <c r="K25" s="372"/>
      <c r="L25" s="449"/>
    </row>
    <row r="26" spans="2:12">
      <c r="B26" s="234"/>
      <c r="C26" s="284" t="s">
        <v>71</v>
      </c>
      <c r="D26" s="285"/>
      <c r="E26" s="284"/>
      <c r="F26" s="19">
        <f>F17+F18+F19+F20+F21+F22+F23+F24+F25</f>
        <v>30</v>
      </c>
      <c r="G26" s="3"/>
      <c r="H26" s="58" t="e">
        <f>ROUND((H17+H19+H22+H24)/4,2)</f>
        <v>#REF!</v>
      </c>
      <c r="I26" s="20" t="e">
        <f>I24+I22+I19+I17</f>
        <v>#REF!</v>
      </c>
      <c r="J26" s="445"/>
      <c r="K26" s="445"/>
      <c r="L26" s="446"/>
    </row>
    <row r="27" spans="2:12">
      <c r="C27" s="11"/>
      <c r="G27" s="11"/>
    </row>
    <row r="28" spans="2:12" ht="18">
      <c r="B28" s="392" t="s">
        <v>72</v>
      </c>
      <c r="C28" s="393"/>
      <c r="D28" s="21" t="e">
        <f>I17+I19+I22+I24</f>
        <v>#REF!</v>
      </c>
      <c r="E28" s="12"/>
      <c r="F28" s="13"/>
      <c r="G28" s="14"/>
      <c r="H28" s="15"/>
      <c r="I28" s="15"/>
      <c r="J28" s="398" t="s">
        <v>73</v>
      </c>
      <c r="K28" s="398"/>
      <c r="L28" s="398"/>
    </row>
    <row r="29" spans="2:12">
      <c r="B29" s="394" t="s">
        <v>74</v>
      </c>
      <c r="C29" s="395"/>
      <c r="D29" s="22" t="e">
        <f>IF(D28=F26,"Semestre validé","Semestre non validé")</f>
        <v>#REF!</v>
      </c>
      <c r="E29" s="13"/>
      <c r="F29" s="13"/>
      <c r="G29" s="16"/>
      <c r="K29" s="13"/>
      <c r="L29" s="13"/>
    </row>
    <row r="30" spans="2:12">
      <c r="B30" s="394" t="s">
        <v>75</v>
      </c>
      <c r="C30" s="395"/>
      <c r="D30" s="1">
        <v>0</v>
      </c>
      <c r="E30" s="13"/>
      <c r="F30" s="13"/>
      <c r="G30" s="16"/>
      <c r="H30" s="13"/>
      <c r="I30" s="13"/>
      <c r="J30" s="13"/>
    </row>
    <row r="31" spans="2:12">
      <c r="C31" s="16"/>
      <c r="D31" s="13"/>
      <c r="E31" s="13"/>
      <c r="F31" s="13"/>
      <c r="G31" s="16"/>
      <c r="H31" s="13"/>
      <c r="I31" s="13"/>
      <c r="J31" s="13"/>
    </row>
    <row r="32" spans="2:12" ht="18">
      <c r="C32" s="16"/>
      <c r="D32" s="13"/>
      <c r="E32" s="13"/>
      <c r="F32" s="13"/>
      <c r="G32" s="17"/>
      <c r="H32" s="13"/>
      <c r="I32" s="13"/>
      <c r="J32" s="13"/>
    </row>
    <row r="33" spans="2:13" ht="18">
      <c r="C33" s="11"/>
      <c r="G33" s="461" t="s">
        <v>76</v>
      </c>
      <c r="H33" s="461"/>
      <c r="I33" s="461"/>
      <c r="J33" s="461"/>
      <c r="K33" s="461"/>
      <c r="L33" s="461"/>
      <c r="M33" s="461"/>
    </row>
    <row r="34" spans="2:13">
      <c r="C34" s="11"/>
    </row>
    <row r="35" spans="2:13">
      <c r="B35" s="442" t="s">
        <v>77</v>
      </c>
      <c r="C35" s="443"/>
      <c r="D35" s="443"/>
      <c r="E35" s="443"/>
      <c r="F35" s="443"/>
      <c r="G35" s="443"/>
      <c r="H35" s="443"/>
      <c r="I35" s="443"/>
      <c r="J35" s="443"/>
      <c r="K35" s="443"/>
      <c r="L35" s="443"/>
    </row>
    <row r="36" spans="2:13">
      <c r="B36" s="443"/>
      <c r="C36" s="443"/>
      <c r="D36" s="443"/>
      <c r="E36" s="443"/>
      <c r="F36" s="443"/>
      <c r="G36" s="443"/>
      <c r="H36" s="443"/>
      <c r="I36" s="443"/>
      <c r="J36" s="443"/>
      <c r="K36" s="443"/>
      <c r="L36" s="443"/>
    </row>
    <row r="37" spans="2:13" hidden="1">
      <c r="B37" s="18" t="s">
        <v>78</v>
      </c>
    </row>
  </sheetData>
  <sheetProtection algorithmName="SHA-512" hashValue="iLzZm20ZJ+g7K5VdQYkZoaetoRgAmX7w929QoHkkxAi+XRmAon1++HAzqQAVynIf0vn10LTwI79wetn7CqhdQw==" saltValue="IMfXTxVgI1yTaOPZ57XWLg==" spinCount="100000" sheet="1" objects="1" scenarios="1"/>
  <mergeCells count="53">
    <mergeCell ref="G14:I14"/>
    <mergeCell ref="D19:D21"/>
    <mergeCell ref="G33:M33"/>
    <mergeCell ref="B35:L36"/>
    <mergeCell ref="B7:L7"/>
    <mergeCell ref="C9:E9"/>
    <mergeCell ref="G9:L9"/>
    <mergeCell ref="B10:C10"/>
    <mergeCell ref="D10:E10"/>
    <mergeCell ref="G10:L10"/>
    <mergeCell ref="C11:E11"/>
    <mergeCell ref="G11:L11"/>
    <mergeCell ref="C12:E12"/>
    <mergeCell ref="G12:L12"/>
    <mergeCell ref="B13:D14"/>
    <mergeCell ref="E13:F14"/>
    <mergeCell ref="G13:L13"/>
    <mergeCell ref="L22:L23"/>
    <mergeCell ref="L14:L16"/>
    <mergeCell ref="B15:B26"/>
    <mergeCell ref="C15:D16"/>
    <mergeCell ref="E15:E16"/>
    <mergeCell ref="F15:F16"/>
    <mergeCell ref="H15:I15"/>
    <mergeCell ref="J15:K15"/>
    <mergeCell ref="L17:L18"/>
    <mergeCell ref="L19:L21"/>
    <mergeCell ref="C17:C18"/>
    <mergeCell ref="D17:D18"/>
    <mergeCell ref="H17:H18"/>
    <mergeCell ref="I17:I18"/>
    <mergeCell ref="K17:K18"/>
    <mergeCell ref="C19:C21"/>
    <mergeCell ref="I22:I23"/>
    <mergeCell ref="K22:K23"/>
    <mergeCell ref="H19:H21"/>
    <mergeCell ref="I19:I21"/>
    <mergeCell ref="K19:K21"/>
    <mergeCell ref="B30:C30"/>
    <mergeCell ref="C26:E26"/>
    <mergeCell ref="C22:C23"/>
    <mergeCell ref="D22:D23"/>
    <mergeCell ref="H22:H23"/>
    <mergeCell ref="J26:L26"/>
    <mergeCell ref="B28:C28"/>
    <mergeCell ref="B29:C29"/>
    <mergeCell ref="J28:L28"/>
    <mergeCell ref="C24:C25"/>
    <mergeCell ref="D24:D25"/>
    <mergeCell ref="H24:H25"/>
    <mergeCell ref="I24:I25"/>
    <mergeCell ref="K24:K25"/>
    <mergeCell ref="L24:L25"/>
  </mergeCells>
  <pageMargins left="0" right="0" top="0" bottom="0" header="0" footer="0"/>
  <pageSetup paperSize="9" orientation="landscape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4FB43-3041-475E-8011-D2BAE8FAF4CC}">
  <sheetPr codeName="Feuil40">
    <tabColor rgb="FF7030A0"/>
  </sheetPr>
  <dimension ref="B7:M37"/>
  <sheetViews>
    <sheetView showGridLines="0" topLeftCell="A13" zoomScale="104" zoomScaleNormal="104" workbookViewId="0">
      <selection activeCell="B36" sqref="B36:L37"/>
    </sheetView>
  </sheetViews>
  <sheetFormatPr baseColWidth="10" defaultColWidth="10.88671875" defaultRowHeight="14.4"/>
  <cols>
    <col min="1" max="1" width="8.33203125" style="5" customWidth="1"/>
    <col min="2" max="2" width="10.88671875" style="5"/>
    <col min="3" max="3" width="8.88671875" style="5" customWidth="1"/>
    <col min="4" max="4" width="16.44140625" style="5" customWidth="1"/>
    <col min="5" max="5" width="30.109375" style="5" customWidth="1"/>
    <col min="6" max="6" width="11.5546875" style="5" customWidth="1"/>
    <col min="7" max="7" width="7.88671875" style="5" customWidth="1"/>
    <col min="8" max="8" width="7" style="5" customWidth="1"/>
    <col min="9" max="9" width="7.44140625" style="5" customWidth="1"/>
    <col min="10" max="10" width="10.109375" style="5" customWidth="1"/>
    <col min="11" max="11" width="9.6640625" style="5" customWidth="1"/>
    <col min="12" max="12" width="9.5546875" style="5" customWidth="1"/>
    <col min="13" max="16384" width="10.88671875" style="5"/>
  </cols>
  <sheetData>
    <row r="7" spans="2:12" ht="18" customHeight="1">
      <c r="B7" s="473" t="s">
        <v>35</v>
      </c>
      <c r="C7" s="473"/>
      <c r="D7" s="473"/>
      <c r="E7" s="473"/>
      <c r="F7" s="473"/>
      <c r="G7" s="473"/>
      <c r="H7" s="473"/>
      <c r="I7" s="473"/>
      <c r="J7" s="473"/>
      <c r="K7" s="473"/>
      <c r="L7" s="473"/>
    </row>
    <row r="8" spans="2:12" s="13" customFormat="1" ht="18" customHeight="1"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</row>
    <row r="9" spans="2:12">
      <c r="B9" s="6" t="s">
        <v>36</v>
      </c>
      <c r="C9" s="291" t="e">
        <f>'SEMESTRE N°1'!#REF!</f>
        <v>#REF!</v>
      </c>
      <c r="D9" s="291"/>
      <c r="E9" s="291"/>
      <c r="F9" s="6" t="s">
        <v>37</v>
      </c>
      <c r="G9" s="294" t="str">
        <f>B37</f>
        <v>Licence Pro. Informatique-1ère année Tronc commun</v>
      </c>
      <c r="H9" s="294"/>
      <c r="I9" s="294"/>
      <c r="J9" s="294"/>
      <c r="K9" s="294"/>
      <c r="L9" s="294"/>
    </row>
    <row r="10" spans="2:12" ht="14.4" customHeight="1">
      <c r="B10" s="246" t="s">
        <v>38</v>
      </c>
      <c r="C10" s="246"/>
      <c r="D10" s="328" t="e">
        <f>'SEMESTRE N°1'!#REF!</f>
        <v>#REF!</v>
      </c>
      <c r="E10" s="328"/>
      <c r="F10" s="6" t="s">
        <v>29</v>
      </c>
      <c r="G10" s="294" t="e">
        <f>'SEMESTRE N°1'!#REF!</f>
        <v>#REF!</v>
      </c>
      <c r="H10" s="294"/>
      <c r="I10" s="294"/>
      <c r="J10" s="294"/>
      <c r="K10" s="294"/>
      <c r="L10" s="294"/>
    </row>
    <row r="11" spans="2:12">
      <c r="B11" s="6" t="s">
        <v>39</v>
      </c>
      <c r="C11" s="291" t="e">
        <f>'SEMESTRE N°1'!#REF!</f>
        <v>#REF!</v>
      </c>
      <c r="D11" s="291"/>
      <c r="E11" s="291"/>
      <c r="F11" s="6" t="s">
        <v>40</v>
      </c>
      <c r="G11" s="249"/>
      <c r="H11" s="249"/>
      <c r="I11" s="249"/>
      <c r="J11" s="249"/>
      <c r="K11" s="249"/>
      <c r="L11" s="249"/>
    </row>
    <row r="12" spans="2:12">
      <c r="B12" s="6" t="s">
        <v>41</v>
      </c>
      <c r="C12" s="305" t="e">
        <f>'SEMESTRE N°1'!#REF!</f>
        <v>#REF!</v>
      </c>
      <c r="D12" s="305"/>
      <c r="E12" s="331"/>
      <c r="F12" s="6" t="s">
        <v>42</v>
      </c>
      <c r="G12" s="278"/>
      <c r="H12" s="278"/>
      <c r="I12" s="278"/>
      <c r="J12" s="278"/>
      <c r="K12" s="278"/>
      <c r="L12" s="278"/>
    </row>
    <row r="13" spans="2:12">
      <c r="B13" s="281" t="s">
        <v>43</v>
      </c>
      <c r="C13" s="281"/>
      <c r="D13" s="281"/>
      <c r="E13" s="282" t="s">
        <v>17</v>
      </c>
      <c r="F13" s="283"/>
      <c r="G13" s="240" t="s">
        <v>44</v>
      </c>
      <c r="H13" s="240"/>
      <c r="I13" s="240"/>
      <c r="J13" s="240"/>
      <c r="K13" s="240"/>
      <c r="L13" s="469"/>
    </row>
    <row r="14" spans="2:12">
      <c r="B14" s="281"/>
      <c r="C14" s="281"/>
      <c r="D14" s="281"/>
      <c r="E14" s="282"/>
      <c r="F14" s="283"/>
      <c r="G14" s="240" t="s">
        <v>45</v>
      </c>
      <c r="H14" s="240"/>
      <c r="I14" s="240"/>
      <c r="J14" s="7" t="s">
        <v>46</v>
      </c>
      <c r="K14" s="7"/>
      <c r="L14" s="469" t="s">
        <v>47</v>
      </c>
    </row>
    <row r="15" spans="2:12">
      <c r="B15" s="233" t="s">
        <v>48</v>
      </c>
      <c r="C15" s="273" t="s">
        <v>49</v>
      </c>
      <c r="D15" s="273"/>
      <c r="E15" s="272" t="s">
        <v>49</v>
      </c>
      <c r="F15" s="272" t="s">
        <v>50</v>
      </c>
      <c r="G15" s="2" t="s">
        <v>51</v>
      </c>
      <c r="H15" s="272" t="s">
        <v>52</v>
      </c>
      <c r="I15" s="272"/>
      <c r="J15" s="272" t="s">
        <v>17</v>
      </c>
      <c r="K15" s="272"/>
      <c r="L15" s="469"/>
    </row>
    <row r="16" spans="2:12">
      <c r="B16" s="234"/>
      <c r="C16" s="272"/>
      <c r="D16" s="274"/>
      <c r="E16" s="272"/>
      <c r="F16" s="272"/>
      <c r="G16" s="60" t="s">
        <v>53</v>
      </c>
      <c r="H16" s="60" t="s">
        <v>53</v>
      </c>
      <c r="I16" s="60" t="s">
        <v>50</v>
      </c>
      <c r="J16" s="60" t="s">
        <v>53</v>
      </c>
      <c r="K16" s="60" t="s">
        <v>50</v>
      </c>
      <c r="L16" s="469"/>
    </row>
    <row r="17" spans="2:12" ht="17.399999999999999" customHeight="1">
      <c r="B17" s="234"/>
      <c r="C17" s="450" t="s">
        <v>54</v>
      </c>
      <c r="D17" s="466" t="s">
        <v>55</v>
      </c>
      <c r="E17" s="8" t="s">
        <v>56</v>
      </c>
      <c r="F17" s="9">
        <v>3</v>
      </c>
      <c r="G17" s="4" t="e">
        <f>'SEMESTRE N°1'!#REF!</f>
        <v>#REF!</v>
      </c>
      <c r="H17" s="453" t="e">
        <f>ROUND((F17*G17+F18*G18)/(F17+F18),2)</f>
        <v>#REF!</v>
      </c>
      <c r="I17" s="453" t="e">
        <f>IF(H17&gt;9.99,(F17+F18),0)</f>
        <v>#REF!</v>
      </c>
      <c r="J17" s="10"/>
      <c r="K17" s="447"/>
      <c r="L17" s="467" t="e">
        <f>IF(H17&gt;10,"Validé","Non validé")</f>
        <v>#REF!</v>
      </c>
    </row>
    <row r="18" spans="2:12" ht="18.899999999999999" customHeight="1">
      <c r="B18" s="234"/>
      <c r="C18" s="450"/>
      <c r="D18" s="472"/>
      <c r="E18" s="8" t="s">
        <v>57</v>
      </c>
      <c r="F18" s="9">
        <v>3</v>
      </c>
      <c r="G18" s="4" t="e">
        <f>'SEMESTRE N°1'!#REF!</f>
        <v>#REF!</v>
      </c>
      <c r="H18" s="454"/>
      <c r="I18" s="453"/>
      <c r="J18" s="10"/>
      <c r="K18" s="372"/>
      <c r="L18" s="468"/>
    </row>
    <row r="19" spans="2:12">
      <c r="B19" s="234"/>
      <c r="C19" s="455" t="s">
        <v>58</v>
      </c>
      <c r="D19" s="466" t="s">
        <v>59</v>
      </c>
      <c r="E19" s="8" t="s">
        <v>60</v>
      </c>
      <c r="F19" s="9">
        <v>5</v>
      </c>
      <c r="G19" s="4" t="e">
        <f>'SEMESTRE N°1'!#REF!</f>
        <v>#REF!</v>
      </c>
      <c r="H19" s="453" t="e">
        <f>ROUND((F19*G19+F20*G20+F21*G21)/(F19+F20+F21),2)</f>
        <v>#REF!</v>
      </c>
      <c r="I19" s="453" t="e">
        <f>IF(H19&gt;9.99,(F19+F20+F21),0)</f>
        <v>#REF!</v>
      </c>
      <c r="J19" s="10"/>
      <c r="K19" s="447"/>
      <c r="L19" s="467" t="e">
        <f>IF(H19&gt;10,"Validé","Non validé")</f>
        <v>#REF!</v>
      </c>
    </row>
    <row r="20" spans="2:12">
      <c r="B20" s="234"/>
      <c r="C20" s="455"/>
      <c r="D20" s="466"/>
      <c r="E20" s="8" t="s">
        <v>61</v>
      </c>
      <c r="F20" s="9">
        <v>3</v>
      </c>
      <c r="G20" s="4" t="e">
        <f>'SEMESTRE N°1'!#REF!</f>
        <v>#REF!</v>
      </c>
      <c r="H20" s="454"/>
      <c r="I20" s="453"/>
      <c r="J20" s="10"/>
      <c r="K20" s="459"/>
      <c r="L20" s="470"/>
    </row>
    <row r="21" spans="2:12" ht="15" customHeight="1">
      <c r="B21" s="234"/>
      <c r="C21" s="455"/>
      <c r="D21" s="466"/>
      <c r="E21" s="8" t="s">
        <v>62</v>
      </c>
      <c r="F21" s="9">
        <v>3</v>
      </c>
      <c r="G21" s="4" t="e">
        <f>'SEMESTRE N°1'!#REF!</f>
        <v>#REF!</v>
      </c>
      <c r="H21" s="454"/>
      <c r="I21" s="453"/>
      <c r="J21" s="10"/>
      <c r="K21" s="372"/>
      <c r="L21" s="471"/>
    </row>
    <row r="22" spans="2:12" ht="18.600000000000001" customHeight="1">
      <c r="B22" s="234"/>
      <c r="C22" s="450" t="s">
        <v>63</v>
      </c>
      <c r="D22" s="466" t="s">
        <v>64</v>
      </c>
      <c r="E22" s="8" t="s">
        <v>65</v>
      </c>
      <c r="F22" s="9">
        <v>4</v>
      </c>
      <c r="G22" s="4" t="e">
        <f>'SEMESTRE N°1'!#REF!</f>
        <v>#REF!</v>
      </c>
      <c r="H22" s="453" t="e">
        <f>ROUND((G22*F22+G23*F23)/(F22+F23),2)</f>
        <v>#REF!</v>
      </c>
      <c r="I22" s="453" t="e">
        <f>IF(H22&gt;9.99,(F22+F23),0)</f>
        <v>#REF!</v>
      </c>
      <c r="J22" s="10"/>
      <c r="K22" s="447"/>
      <c r="L22" s="467" t="e">
        <f>IF(H22&gt;9.99,"Validé","Non validé")</f>
        <v>#REF!</v>
      </c>
    </row>
    <row r="23" spans="2:12" ht="19.5" customHeight="1">
      <c r="B23" s="234"/>
      <c r="C23" s="450"/>
      <c r="D23" s="466"/>
      <c r="E23" s="8" t="s">
        <v>66</v>
      </c>
      <c r="F23" s="9">
        <v>4</v>
      </c>
      <c r="G23" s="4" t="e">
        <f>'SEMESTRE N°1'!#REF!</f>
        <v>#REF!</v>
      </c>
      <c r="H23" s="454"/>
      <c r="I23" s="453"/>
      <c r="J23" s="10"/>
      <c r="K23" s="372"/>
      <c r="L23" s="468"/>
    </row>
    <row r="24" spans="2:12" ht="17.399999999999999" customHeight="1">
      <c r="B24" s="234"/>
      <c r="C24" s="455" t="s">
        <v>67</v>
      </c>
      <c r="D24" s="466" t="s">
        <v>68</v>
      </c>
      <c r="E24" s="8" t="s">
        <v>69</v>
      </c>
      <c r="F24" s="9">
        <v>2</v>
      </c>
      <c r="G24" s="4" t="e">
        <f>'SEMESTRE N°1'!#REF!</f>
        <v>#REF!</v>
      </c>
      <c r="H24" s="453" t="e">
        <f>ROUND((G24*F24+G25*F25)/(F24+F25),2)</f>
        <v>#REF!</v>
      </c>
      <c r="I24" s="453" t="e">
        <f>IF(H24&gt;9.99,(F24+F25),0)</f>
        <v>#REF!</v>
      </c>
      <c r="J24" s="10"/>
      <c r="K24" s="447"/>
      <c r="L24" s="467" t="e">
        <f>IF(H24&gt;0,"Validé","Non validé")</f>
        <v>#REF!</v>
      </c>
    </row>
    <row r="25" spans="2:12" ht="24.6" customHeight="1">
      <c r="B25" s="234"/>
      <c r="C25" s="455"/>
      <c r="D25" s="466"/>
      <c r="E25" s="8" t="s">
        <v>70</v>
      </c>
      <c r="F25" s="9">
        <v>3</v>
      </c>
      <c r="G25" s="4" t="e">
        <f>'SEMESTRE N°1'!#REF!</f>
        <v>#REF!</v>
      </c>
      <c r="H25" s="454"/>
      <c r="I25" s="453"/>
      <c r="J25" s="10"/>
      <c r="K25" s="372"/>
      <c r="L25" s="468"/>
    </row>
    <row r="26" spans="2:12">
      <c r="B26" s="234"/>
      <c r="C26" s="284" t="s">
        <v>71</v>
      </c>
      <c r="D26" s="285"/>
      <c r="E26" s="284"/>
      <c r="F26" s="19">
        <f>F17+F18+F19+F20+F21+F22+F23+F24+F25</f>
        <v>30</v>
      </c>
      <c r="G26" s="3"/>
      <c r="H26" s="58" t="e">
        <f>ROUND((H17+H19+H22+H24)/4,2)</f>
        <v>#REF!</v>
      </c>
      <c r="I26" s="20" t="e">
        <f>I24+I22+I19+I17</f>
        <v>#REF!</v>
      </c>
      <c r="J26" s="445"/>
      <c r="K26" s="445"/>
      <c r="L26" s="465"/>
    </row>
    <row r="27" spans="2:12">
      <c r="C27" s="11"/>
      <c r="G27" s="11"/>
    </row>
    <row r="28" spans="2:12" ht="18">
      <c r="B28" s="392" t="s">
        <v>72</v>
      </c>
      <c r="C28" s="393"/>
      <c r="D28" s="21" t="e">
        <f>I17+I19+I22+I24</f>
        <v>#REF!</v>
      </c>
      <c r="E28" s="12"/>
      <c r="F28" s="13"/>
      <c r="G28" s="14"/>
      <c r="H28" s="15"/>
      <c r="I28" s="15"/>
      <c r="J28" s="398" t="s">
        <v>73</v>
      </c>
      <c r="K28" s="398"/>
      <c r="L28" s="398"/>
    </row>
    <row r="29" spans="2:12">
      <c r="B29" s="394" t="s">
        <v>74</v>
      </c>
      <c r="C29" s="395"/>
      <c r="D29" s="22" t="e">
        <f>IF(D28=F26,"Semestre validé","Semestre non validé")</f>
        <v>#REF!</v>
      </c>
      <c r="E29" s="13"/>
      <c r="F29" s="13"/>
      <c r="G29" s="16"/>
      <c r="K29" s="13"/>
      <c r="L29" s="13"/>
    </row>
    <row r="30" spans="2:12">
      <c r="B30" s="394" t="s">
        <v>75</v>
      </c>
      <c r="C30" s="395"/>
      <c r="D30" s="1">
        <v>0</v>
      </c>
      <c r="E30" s="13"/>
      <c r="F30" s="13"/>
      <c r="G30" s="16"/>
      <c r="H30" s="13"/>
      <c r="I30" s="13"/>
      <c r="J30" s="13"/>
    </row>
    <row r="31" spans="2:12">
      <c r="C31" s="16"/>
      <c r="D31" s="13"/>
      <c r="E31" s="13"/>
      <c r="F31" s="13"/>
      <c r="G31" s="16"/>
      <c r="H31" s="13"/>
      <c r="I31" s="13"/>
      <c r="J31" s="13"/>
    </row>
    <row r="32" spans="2:12" ht="18">
      <c r="C32" s="16"/>
      <c r="D32" s="13"/>
      <c r="E32" s="13"/>
      <c r="F32" s="13"/>
      <c r="G32" s="17"/>
      <c r="H32" s="13"/>
      <c r="I32" s="13"/>
      <c r="J32" s="13"/>
    </row>
    <row r="33" spans="2:13" ht="18">
      <c r="C33" s="11"/>
      <c r="G33" s="461" t="s">
        <v>76</v>
      </c>
      <c r="H33" s="461"/>
      <c r="I33" s="461"/>
      <c r="J33" s="461"/>
      <c r="K33" s="461"/>
      <c r="L33" s="461"/>
      <c r="M33" s="461"/>
    </row>
    <row r="34" spans="2:13">
      <c r="C34" s="11"/>
      <c r="G34" s="11"/>
    </row>
    <row r="35" spans="2:13">
      <c r="B35" s="442" t="s">
        <v>77</v>
      </c>
      <c r="C35" s="443"/>
      <c r="D35" s="443"/>
      <c r="E35" s="443"/>
      <c r="F35" s="443"/>
      <c r="G35" s="443"/>
      <c r="H35" s="443"/>
      <c r="I35" s="443"/>
      <c r="J35" s="443"/>
      <c r="K35" s="443"/>
      <c r="L35" s="443"/>
    </row>
    <row r="36" spans="2:13">
      <c r="B36" s="443"/>
      <c r="C36" s="443"/>
      <c r="D36" s="443"/>
      <c r="E36" s="443"/>
      <c r="F36" s="443"/>
      <c r="G36" s="443"/>
      <c r="H36" s="443"/>
      <c r="I36" s="443"/>
      <c r="J36" s="443"/>
      <c r="K36" s="443"/>
      <c r="L36" s="443"/>
    </row>
    <row r="37" spans="2:13" hidden="1">
      <c r="B37" s="18" t="s">
        <v>78</v>
      </c>
    </row>
  </sheetData>
  <sheetProtection algorithmName="SHA-512" hashValue="KPfUtuDRatPiU8zL11r7MEAhnQpkJabHYebMMqW9075CnQh7PDTKPjPjxZbBIo+y+MO0jyzQnXk+gjlDDFlNAQ==" saltValue="BaOVX7IxZTlRQ3pYGRyUHw==" spinCount="100000" sheet="1" objects="1" scenarios="1"/>
  <mergeCells count="53">
    <mergeCell ref="G14:I14"/>
    <mergeCell ref="D19:D21"/>
    <mergeCell ref="G33:M33"/>
    <mergeCell ref="B35:L36"/>
    <mergeCell ref="B7:L7"/>
    <mergeCell ref="C9:E9"/>
    <mergeCell ref="G9:L9"/>
    <mergeCell ref="B10:C10"/>
    <mergeCell ref="D10:E10"/>
    <mergeCell ref="G10:L10"/>
    <mergeCell ref="C11:E11"/>
    <mergeCell ref="G11:L11"/>
    <mergeCell ref="C12:E12"/>
    <mergeCell ref="G12:L12"/>
    <mergeCell ref="B13:D14"/>
    <mergeCell ref="E13:F14"/>
    <mergeCell ref="G13:L13"/>
    <mergeCell ref="L22:L23"/>
    <mergeCell ref="L14:L16"/>
    <mergeCell ref="B15:B26"/>
    <mergeCell ref="C15:D16"/>
    <mergeCell ref="E15:E16"/>
    <mergeCell ref="F15:F16"/>
    <mergeCell ref="H15:I15"/>
    <mergeCell ref="J15:K15"/>
    <mergeCell ref="L17:L18"/>
    <mergeCell ref="L19:L21"/>
    <mergeCell ref="C17:C18"/>
    <mergeCell ref="D17:D18"/>
    <mergeCell ref="H17:H18"/>
    <mergeCell ref="I17:I18"/>
    <mergeCell ref="K17:K18"/>
    <mergeCell ref="C19:C21"/>
    <mergeCell ref="I22:I23"/>
    <mergeCell ref="K22:K23"/>
    <mergeCell ref="H19:H21"/>
    <mergeCell ref="I19:I21"/>
    <mergeCell ref="K19:K21"/>
    <mergeCell ref="B30:C30"/>
    <mergeCell ref="C26:E26"/>
    <mergeCell ref="C22:C23"/>
    <mergeCell ref="D22:D23"/>
    <mergeCell ref="H22:H23"/>
    <mergeCell ref="J26:L26"/>
    <mergeCell ref="B28:C28"/>
    <mergeCell ref="B29:C29"/>
    <mergeCell ref="J28:L28"/>
    <mergeCell ref="C24:C25"/>
    <mergeCell ref="D24:D25"/>
    <mergeCell ref="H24:H25"/>
    <mergeCell ref="I24:I25"/>
    <mergeCell ref="K24:K25"/>
    <mergeCell ref="L24:L25"/>
  </mergeCells>
  <pageMargins left="0" right="0" top="0" bottom="0" header="0" footer="0"/>
  <pageSetup paperSize="9" orientation="landscape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F6695-6657-4B33-93E7-5D407C4683A3}">
  <sheetPr codeName="Feuil41">
    <tabColor rgb="FF7030A0"/>
  </sheetPr>
  <dimension ref="B7:M37"/>
  <sheetViews>
    <sheetView showGridLines="0" topLeftCell="A4" workbookViewId="0">
      <selection activeCell="B36" sqref="B36:L37"/>
    </sheetView>
  </sheetViews>
  <sheetFormatPr baseColWidth="10" defaultColWidth="10.88671875" defaultRowHeight="14.4"/>
  <cols>
    <col min="1" max="1" width="8.33203125" style="5" customWidth="1"/>
    <col min="2" max="2" width="10.88671875" style="5"/>
    <col min="3" max="3" width="8.88671875" style="5" customWidth="1"/>
    <col min="4" max="4" width="16.44140625" style="5" customWidth="1"/>
    <col min="5" max="5" width="30.109375" style="5" customWidth="1"/>
    <col min="6" max="6" width="11.5546875" style="5" customWidth="1"/>
    <col min="7" max="7" width="7.88671875" style="5" customWidth="1"/>
    <col min="8" max="8" width="7" style="5" customWidth="1"/>
    <col min="9" max="9" width="7.44140625" style="5" customWidth="1"/>
    <col min="10" max="10" width="10.109375" style="5" customWidth="1"/>
    <col min="11" max="11" width="9.6640625" style="5" customWidth="1"/>
    <col min="12" max="12" width="9.5546875" style="5" customWidth="1"/>
    <col min="13" max="16384" width="10.88671875" style="5"/>
  </cols>
  <sheetData>
    <row r="7" spans="2:12" ht="18" customHeight="1">
      <c r="B7" s="473" t="s">
        <v>35</v>
      </c>
      <c r="C7" s="473"/>
      <c r="D7" s="473"/>
      <c r="E7" s="473"/>
      <c r="F7" s="473"/>
      <c r="G7" s="473"/>
      <c r="H7" s="473"/>
      <c r="I7" s="473"/>
      <c r="J7" s="473"/>
      <c r="K7" s="473"/>
      <c r="L7" s="473"/>
    </row>
    <row r="8" spans="2:12" s="13" customFormat="1" ht="18" customHeight="1"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</row>
    <row r="9" spans="2:12">
      <c r="B9" s="6" t="s">
        <v>36</v>
      </c>
      <c r="C9" s="291" t="e">
        <f>'SEMESTRE N°1'!#REF!</f>
        <v>#REF!</v>
      </c>
      <c r="D9" s="292"/>
      <c r="E9" s="292"/>
      <c r="F9" s="6" t="s">
        <v>37</v>
      </c>
      <c r="G9" s="294" t="str">
        <f>B37</f>
        <v>Licence Pro. Informatique-1ère année Tronc commun</v>
      </c>
      <c r="H9" s="294"/>
      <c r="I9" s="294"/>
      <c r="J9" s="294"/>
      <c r="K9" s="294"/>
      <c r="L9" s="294"/>
    </row>
    <row r="10" spans="2:12">
      <c r="B10" s="246" t="s">
        <v>38</v>
      </c>
      <c r="C10" s="246"/>
      <c r="D10" s="328" t="e">
        <f>'SEMESTRE N°1'!#REF!</f>
        <v>#REF!</v>
      </c>
      <c r="E10" s="329"/>
      <c r="F10" s="6" t="s">
        <v>29</v>
      </c>
      <c r="G10" s="294" t="e">
        <f>'SEMESTRE N°1'!#REF!</f>
        <v>#REF!</v>
      </c>
      <c r="H10" s="294"/>
      <c r="I10" s="294"/>
      <c r="J10" s="294"/>
      <c r="K10" s="294"/>
      <c r="L10" s="294"/>
    </row>
    <row r="11" spans="2:12">
      <c r="B11" s="6" t="s">
        <v>39</v>
      </c>
      <c r="C11" s="291" t="e">
        <f>'SEMESTRE N°1'!#REF!</f>
        <v>#REF!</v>
      </c>
      <c r="D11" s="292"/>
      <c r="E11" s="292"/>
      <c r="F11" s="6" t="s">
        <v>40</v>
      </c>
      <c r="G11" s="249"/>
      <c r="H11" s="249"/>
      <c r="I11" s="249"/>
      <c r="J11" s="249"/>
      <c r="K11" s="249"/>
      <c r="L11" s="249"/>
    </row>
    <row r="12" spans="2:12">
      <c r="B12" s="6" t="s">
        <v>41</v>
      </c>
      <c r="C12" s="305" t="e">
        <f>'SEMESTRE N°1'!#REF!</f>
        <v>#REF!</v>
      </c>
      <c r="D12" s="294"/>
      <c r="E12" s="294"/>
      <c r="F12" s="6" t="s">
        <v>42</v>
      </c>
      <c r="G12" s="249"/>
      <c r="H12" s="249"/>
      <c r="I12" s="249"/>
      <c r="J12" s="249"/>
      <c r="K12" s="249"/>
      <c r="L12" s="249"/>
    </row>
    <row r="13" spans="2:12">
      <c r="B13" s="281" t="s">
        <v>43</v>
      </c>
      <c r="C13" s="281"/>
      <c r="D13" s="281"/>
      <c r="E13" s="282" t="s">
        <v>17</v>
      </c>
      <c r="F13" s="283"/>
      <c r="G13" s="240" t="s">
        <v>44</v>
      </c>
      <c r="H13" s="240"/>
      <c r="I13" s="240"/>
      <c r="J13" s="240"/>
      <c r="K13" s="240"/>
      <c r="L13" s="469"/>
    </row>
    <row r="14" spans="2:12">
      <c r="B14" s="281"/>
      <c r="C14" s="281"/>
      <c r="D14" s="281"/>
      <c r="E14" s="282"/>
      <c r="F14" s="283"/>
      <c r="G14" s="240" t="s">
        <v>45</v>
      </c>
      <c r="H14" s="240"/>
      <c r="I14" s="240"/>
      <c r="J14" s="7" t="s">
        <v>46</v>
      </c>
      <c r="K14" s="7"/>
      <c r="L14" s="469" t="s">
        <v>47</v>
      </c>
    </row>
    <row r="15" spans="2:12">
      <c r="B15" s="233" t="s">
        <v>48</v>
      </c>
      <c r="C15" s="273" t="s">
        <v>49</v>
      </c>
      <c r="D15" s="273"/>
      <c r="E15" s="272" t="s">
        <v>49</v>
      </c>
      <c r="F15" s="272" t="s">
        <v>50</v>
      </c>
      <c r="G15" s="2" t="s">
        <v>51</v>
      </c>
      <c r="H15" s="272" t="s">
        <v>52</v>
      </c>
      <c r="I15" s="272"/>
      <c r="J15" s="272" t="s">
        <v>17</v>
      </c>
      <c r="K15" s="272"/>
      <c r="L15" s="469"/>
    </row>
    <row r="16" spans="2:12">
      <c r="B16" s="234"/>
      <c r="C16" s="272"/>
      <c r="D16" s="274"/>
      <c r="E16" s="272"/>
      <c r="F16" s="272"/>
      <c r="G16" s="60" t="s">
        <v>53</v>
      </c>
      <c r="H16" s="60" t="s">
        <v>53</v>
      </c>
      <c r="I16" s="60" t="s">
        <v>50</v>
      </c>
      <c r="J16" s="60" t="s">
        <v>53</v>
      </c>
      <c r="K16" s="60" t="s">
        <v>50</v>
      </c>
      <c r="L16" s="469"/>
    </row>
    <row r="17" spans="2:12" ht="17.399999999999999" customHeight="1">
      <c r="B17" s="234"/>
      <c r="C17" s="450" t="s">
        <v>54</v>
      </c>
      <c r="D17" s="466" t="s">
        <v>55</v>
      </c>
      <c r="E17" s="8" t="s">
        <v>56</v>
      </c>
      <c r="F17" s="9">
        <v>3</v>
      </c>
      <c r="G17" s="4" t="e">
        <f>'SEMESTRE N°1'!#REF!</f>
        <v>#REF!</v>
      </c>
      <c r="H17" s="453" t="e">
        <f>ROUND((F17*G17+F18*G18)/(F17+F18),2)</f>
        <v>#REF!</v>
      </c>
      <c r="I17" s="453" t="e">
        <f>IF(H17&gt;9.99,(F17+F18),0)</f>
        <v>#REF!</v>
      </c>
      <c r="J17" s="10"/>
      <c r="K17" s="447"/>
      <c r="L17" s="467" t="e">
        <f>IF(H17&gt;10,"Validé","Non validé")</f>
        <v>#REF!</v>
      </c>
    </row>
    <row r="18" spans="2:12" ht="18.899999999999999" customHeight="1">
      <c r="B18" s="234"/>
      <c r="C18" s="450"/>
      <c r="D18" s="472"/>
      <c r="E18" s="8" t="s">
        <v>57</v>
      </c>
      <c r="F18" s="9">
        <v>3</v>
      </c>
      <c r="G18" s="4" t="e">
        <f>'SEMESTRE N°1'!#REF!</f>
        <v>#REF!</v>
      </c>
      <c r="H18" s="454"/>
      <c r="I18" s="453"/>
      <c r="J18" s="10"/>
      <c r="K18" s="372"/>
      <c r="L18" s="468"/>
    </row>
    <row r="19" spans="2:12">
      <c r="B19" s="234"/>
      <c r="C19" s="455" t="s">
        <v>58</v>
      </c>
      <c r="D19" s="466" t="s">
        <v>59</v>
      </c>
      <c r="E19" s="8" t="s">
        <v>60</v>
      </c>
      <c r="F19" s="9">
        <v>5</v>
      </c>
      <c r="G19" s="4" t="e">
        <f>'SEMESTRE N°1'!#REF!</f>
        <v>#REF!</v>
      </c>
      <c r="H19" s="453" t="e">
        <f>ROUND((F19*G19+F20*G20+F21*G21)/(F19+F20+F21),2)</f>
        <v>#REF!</v>
      </c>
      <c r="I19" s="453" t="e">
        <f>IF(H19&gt;9.99,(F19+F20+F21),0)</f>
        <v>#REF!</v>
      </c>
      <c r="J19" s="10"/>
      <c r="K19" s="447"/>
      <c r="L19" s="467" t="e">
        <f>IF(H19&gt;10,"Validé","Non validé")</f>
        <v>#REF!</v>
      </c>
    </row>
    <row r="20" spans="2:12">
      <c r="B20" s="234"/>
      <c r="C20" s="455"/>
      <c r="D20" s="466"/>
      <c r="E20" s="8" t="s">
        <v>61</v>
      </c>
      <c r="F20" s="9">
        <v>3</v>
      </c>
      <c r="G20" s="4" t="e">
        <f>'SEMESTRE N°1'!#REF!</f>
        <v>#REF!</v>
      </c>
      <c r="H20" s="454"/>
      <c r="I20" s="453"/>
      <c r="J20" s="10"/>
      <c r="K20" s="459"/>
      <c r="L20" s="470"/>
    </row>
    <row r="21" spans="2:12" ht="15" customHeight="1">
      <c r="B21" s="234"/>
      <c r="C21" s="455"/>
      <c r="D21" s="466"/>
      <c r="E21" s="8" t="s">
        <v>62</v>
      </c>
      <c r="F21" s="9">
        <v>3</v>
      </c>
      <c r="G21" s="4" t="e">
        <f>'SEMESTRE N°1'!#REF!</f>
        <v>#REF!</v>
      </c>
      <c r="H21" s="454"/>
      <c r="I21" s="453"/>
      <c r="J21" s="10"/>
      <c r="K21" s="372"/>
      <c r="L21" s="471"/>
    </row>
    <row r="22" spans="2:12" ht="18.600000000000001" customHeight="1">
      <c r="B22" s="234"/>
      <c r="C22" s="450" t="s">
        <v>63</v>
      </c>
      <c r="D22" s="466" t="s">
        <v>64</v>
      </c>
      <c r="E22" s="8" t="s">
        <v>65</v>
      </c>
      <c r="F22" s="9">
        <v>4</v>
      </c>
      <c r="G22" s="4" t="e">
        <f>'SEMESTRE N°1'!#REF!</f>
        <v>#REF!</v>
      </c>
      <c r="H22" s="453" t="e">
        <f>ROUND((G22*F22+G23*F23)/(F22+F23),2)</f>
        <v>#REF!</v>
      </c>
      <c r="I22" s="453" t="e">
        <f>IF(H22&gt;9.99,(F22+F23),0)</f>
        <v>#REF!</v>
      </c>
      <c r="J22" s="10"/>
      <c r="K22" s="447"/>
      <c r="L22" s="467" t="e">
        <f>IF(H22&gt;9.99,"Validé","Non validé")</f>
        <v>#REF!</v>
      </c>
    </row>
    <row r="23" spans="2:12" ht="19.5" customHeight="1">
      <c r="B23" s="234"/>
      <c r="C23" s="450"/>
      <c r="D23" s="466"/>
      <c r="E23" s="8" t="s">
        <v>66</v>
      </c>
      <c r="F23" s="9">
        <v>4</v>
      </c>
      <c r="G23" s="4" t="e">
        <f>'SEMESTRE N°1'!#REF!</f>
        <v>#REF!</v>
      </c>
      <c r="H23" s="454"/>
      <c r="I23" s="453"/>
      <c r="J23" s="10"/>
      <c r="K23" s="372"/>
      <c r="L23" s="468"/>
    </row>
    <row r="24" spans="2:12" ht="17.399999999999999" customHeight="1">
      <c r="B24" s="234"/>
      <c r="C24" s="455" t="s">
        <v>67</v>
      </c>
      <c r="D24" s="466" t="s">
        <v>68</v>
      </c>
      <c r="E24" s="8" t="s">
        <v>69</v>
      </c>
      <c r="F24" s="9">
        <v>2</v>
      </c>
      <c r="G24" s="4" t="e">
        <f>'SEMESTRE N°1'!#REF!</f>
        <v>#REF!</v>
      </c>
      <c r="H24" s="453" t="e">
        <f>ROUND((G24*F24+G25*F25)/(F24+F25),2)</f>
        <v>#REF!</v>
      </c>
      <c r="I24" s="453" t="e">
        <f>IF(H24&gt;9.99,(F24+F25),0)</f>
        <v>#REF!</v>
      </c>
      <c r="J24" s="10"/>
      <c r="K24" s="447"/>
      <c r="L24" s="467" t="e">
        <f>IF(H24&gt;0,"Validé","Non validé")</f>
        <v>#REF!</v>
      </c>
    </row>
    <row r="25" spans="2:12" ht="24.6" customHeight="1">
      <c r="B25" s="234"/>
      <c r="C25" s="455"/>
      <c r="D25" s="466"/>
      <c r="E25" s="8" t="s">
        <v>70</v>
      </c>
      <c r="F25" s="9">
        <v>3</v>
      </c>
      <c r="G25" s="4" t="e">
        <f>'SEMESTRE N°1'!#REF!</f>
        <v>#REF!</v>
      </c>
      <c r="H25" s="454"/>
      <c r="I25" s="453"/>
      <c r="J25" s="10"/>
      <c r="K25" s="372"/>
      <c r="L25" s="468"/>
    </row>
    <row r="26" spans="2:12">
      <c r="B26" s="234"/>
      <c r="C26" s="284" t="s">
        <v>71</v>
      </c>
      <c r="D26" s="285"/>
      <c r="E26" s="284"/>
      <c r="F26" s="19">
        <f>F17+F18+F19+F20+F21+F22+F23+F24+F25</f>
        <v>30</v>
      </c>
      <c r="G26" s="3"/>
      <c r="H26" s="58" t="e">
        <f>ROUND((H17+H19+H22+H24)/4,2)</f>
        <v>#REF!</v>
      </c>
      <c r="I26" s="20" t="e">
        <f>I24+I22+I19+I17</f>
        <v>#REF!</v>
      </c>
      <c r="J26" s="445"/>
      <c r="K26" s="445"/>
      <c r="L26" s="465"/>
    </row>
    <row r="27" spans="2:12">
      <c r="C27" s="11"/>
      <c r="G27" s="11"/>
    </row>
    <row r="28" spans="2:12" ht="18">
      <c r="B28" s="392" t="s">
        <v>72</v>
      </c>
      <c r="C28" s="393"/>
      <c r="D28" s="21" t="e">
        <f>I17+I19+I22+I24</f>
        <v>#REF!</v>
      </c>
      <c r="E28" s="12"/>
      <c r="F28" s="13"/>
      <c r="G28" s="14"/>
      <c r="H28" s="15"/>
      <c r="I28" s="15"/>
      <c r="J28" s="398" t="s">
        <v>73</v>
      </c>
      <c r="K28" s="398"/>
      <c r="L28" s="398"/>
    </row>
    <row r="29" spans="2:12">
      <c r="B29" s="394" t="s">
        <v>74</v>
      </c>
      <c r="C29" s="395"/>
      <c r="D29" s="22" t="e">
        <f>IF(D28=F26,"Semestre validé","Semestre non validé")</f>
        <v>#REF!</v>
      </c>
      <c r="E29" s="13"/>
      <c r="F29" s="13"/>
      <c r="G29" s="16"/>
      <c r="K29" s="13"/>
      <c r="L29" s="13"/>
    </row>
    <row r="30" spans="2:12">
      <c r="B30" s="394" t="s">
        <v>75</v>
      </c>
      <c r="C30" s="395"/>
      <c r="D30" s="1">
        <v>0</v>
      </c>
      <c r="E30" s="13"/>
      <c r="F30" s="13"/>
      <c r="G30" s="16"/>
      <c r="H30" s="13"/>
      <c r="I30" s="13"/>
      <c r="J30" s="13"/>
    </row>
    <row r="31" spans="2:12">
      <c r="C31" s="16"/>
      <c r="D31" s="13"/>
      <c r="E31" s="13"/>
      <c r="F31" s="13"/>
      <c r="G31" s="16"/>
      <c r="H31" s="13"/>
      <c r="I31" s="13"/>
      <c r="J31" s="13"/>
    </row>
    <row r="32" spans="2:12" ht="18">
      <c r="C32" s="16"/>
      <c r="D32" s="13"/>
      <c r="E32" s="13"/>
      <c r="F32" s="13"/>
      <c r="G32" s="17"/>
      <c r="H32" s="13"/>
      <c r="I32" s="13"/>
      <c r="J32" s="13"/>
    </row>
    <row r="33" spans="2:13" ht="18">
      <c r="C33" s="11"/>
      <c r="G33" s="461" t="s">
        <v>76</v>
      </c>
      <c r="H33" s="461"/>
      <c r="I33" s="461"/>
      <c r="J33" s="461"/>
      <c r="K33" s="461"/>
      <c r="L33" s="461"/>
      <c r="M33" s="461"/>
    </row>
    <row r="34" spans="2:13">
      <c r="C34" s="11"/>
    </row>
    <row r="35" spans="2:13">
      <c r="B35" s="442" t="s">
        <v>77</v>
      </c>
      <c r="C35" s="443"/>
      <c r="D35" s="443"/>
      <c r="E35" s="443"/>
      <c r="F35" s="443"/>
      <c r="G35" s="443"/>
      <c r="H35" s="443"/>
      <c r="I35" s="443"/>
      <c r="J35" s="443"/>
      <c r="K35" s="443"/>
      <c r="L35" s="443"/>
    </row>
    <row r="36" spans="2:13">
      <c r="B36" s="443"/>
      <c r="C36" s="443"/>
      <c r="D36" s="443"/>
      <c r="E36" s="443"/>
      <c r="F36" s="443"/>
      <c r="G36" s="443"/>
      <c r="H36" s="443"/>
      <c r="I36" s="443"/>
      <c r="J36" s="443"/>
      <c r="K36" s="443"/>
      <c r="L36" s="443"/>
    </row>
    <row r="37" spans="2:13" hidden="1">
      <c r="B37" s="18" t="s">
        <v>78</v>
      </c>
    </row>
  </sheetData>
  <sheetProtection algorithmName="SHA-512" hashValue="vPdcThy79jM4cmT06XfRuxxWBbdUehBiNlgftsiZUq/XuFN7BZlaucuLD3lhMQnkQjCQs5KtyKH+7dCd4i7pIQ==" saltValue="1LUdNpaq03sob+KK+qMuWA==" spinCount="100000" sheet="1" objects="1" scenarios="1"/>
  <mergeCells count="53">
    <mergeCell ref="G14:I14"/>
    <mergeCell ref="D19:D21"/>
    <mergeCell ref="G33:M33"/>
    <mergeCell ref="B35:L36"/>
    <mergeCell ref="B7:L7"/>
    <mergeCell ref="C9:E9"/>
    <mergeCell ref="G9:L9"/>
    <mergeCell ref="B10:C10"/>
    <mergeCell ref="D10:E10"/>
    <mergeCell ref="G10:L10"/>
    <mergeCell ref="C11:E11"/>
    <mergeCell ref="G11:L11"/>
    <mergeCell ref="C12:E12"/>
    <mergeCell ref="G12:L12"/>
    <mergeCell ref="B13:D14"/>
    <mergeCell ref="E13:F14"/>
    <mergeCell ref="G13:L13"/>
    <mergeCell ref="L22:L23"/>
    <mergeCell ref="L14:L16"/>
    <mergeCell ref="B15:B26"/>
    <mergeCell ref="C15:D16"/>
    <mergeCell ref="E15:E16"/>
    <mergeCell ref="F15:F16"/>
    <mergeCell ref="H15:I15"/>
    <mergeCell ref="J15:K15"/>
    <mergeCell ref="L17:L18"/>
    <mergeCell ref="L19:L21"/>
    <mergeCell ref="C17:C18"/>
    <mergeCell ref="D17:D18"/>
    <mergeCell ref="H17:H18"/>
    <mergeCell ref="I17:I18"/>
    <mergeCell ref="K17:K18"/>
    <mergeCell ref="C19:C21"/>
    <mergeCell ref="I22:I23"/>
    <mergeCell ref="K22:K23"/>
    <mergeCell ref="H19:H21"/>
    <mergeCell ref="I19:I21"/>
    <mergeCell ref="K19:K21"/>
    <mergeCell ref="B30:C30"/>
    <mergeCell ref="C26:E26"/>
    <mergeCell ref="C22:C23"/>
    <mergeCell ref="D22:D23"/>
    <mergeCell ref="H22:H23"/>
    <mergeCell ref="J26:L26"/>
    <mergeCell ref="B28:C28"/>
    <mergeCell ref="B29:C29"/>
    <mergeCell ref="J28:L28"/>
    <mergeCell ref="C24:C25"/>
    <mergeCell ref="D24:D25"/>
    <mergeCell ref="H24:H25"/>
    <mergeCell ref="I24:I25"/>
    <mergeCell ref="K24:K25"/>
    <mergeCell ref="L24:L25"/>
  </mergeCells>
  <pageMargins left="0" right="0" top="0" bottom="0" header="0" footer="0"/>
  <pageSetup paperSize="9" orientation="landscape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F0883-6E96-4B38-B9A2-BB2F1C00592C}">
  <sheetPr codeName="Feuil42">
    <tabColor rgb="FF7030A0"/>
  </sheetPr>
  <dimension ref="B7:M37"/>
  <sheetViews>
    <sheetView showGridLines="0" topLeftCell="A13" workbookViewId="0">
      <selection activeCell="B35" sqref="B35:L37"/>
    </sheetView>
  </sheetViews>
  <sheetFormatPr baseColWidth="10" defaultColWidth="10.88671875" defaultRowHeight="14.4"/>
  <cols>
    <col min="1" max="1" width="8.109375" style="5" customWidth="1"/>
    <col min="2" max="2" width="10.88671875" style="5"/>
    <col min="3" max="3" width="8.88671875" style="5" customWidth="1"/>
    <col min="4" max="4" width="16.44140625" style="5" customWidth="1"/>
    <col min="5" max="5" width="30.109375" style="5" customWidth="1"/>
    <col min="6" max="6" width="11.5546875" style="5" customWidth="1"/>
    <col min="7" max="7" width="7.88671875" style="5" customWidth="1"/>
    <col min="8" max="8" width="7" style="5" customWidth="1"/>
    <col min="9" max="9" width="7.44140625" style="5" customWidth="1"/>
    <col min="10" max="10" width="10.109375" style="5" customWidth="1"/>
    <col min="11" max="11" width="9.6640625" style="5" customWidth="1"/>
    <col min="12" max="12" width="9.5546875" style="5" customWidth="1"/>
    <col min="13" max="16384" width="10.88671875" style="5"/>
  </cols>
  <sheetData>
    <row r="7" spans="2:12" ht="18" customHeight="1">
      <c r="B7" s="473" t="s">
        <v>35</v>
      </c>
      <c r="C7" s="473"/>
      <c r="D7" s="473"/>
      <c r="E7" s="473"/>
      <c r="F7" s="473"/>
      <c r="G7" s="473"/>
      <c r="H7" s="473"/>
      <c r="I7" s="473"/>
      <c r="J7" s="473"/>
      <c r="K7" s="473"/>
      <c r="L7" s="473"/>
    </row>
    <row r="8" spans="2:12" s="13" customFormat="1" ht="18" customHeight="1"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</row>
    <row r="9" spans="2:12">
      <c r="B9" s="6" t="s">
        <v>36</v>
      </c>
      <c r="C9" s="291" t="e">
        <f>'SEMESTRE N°1'!#REF!</f>
        <v>#REF!</v>
      </c>
      <c r="D9" s="292"/>
      <c r="E9" s="292"/>
      <c r="F9" s="6" t="s">
        <v>37</v>
      </c>
      <c r="G9" s="294" t="str">
        <f>B37</f>
        <v>Licence Pro. Informatique-1ère année Tronc commun</v>
      </c>
      <c r="H9" s="294"/>
      <c r="I9" s="294"/>
      <c r="J9" s="294"/>
      <c r="K9" s="294"/>
      <c r="L9" s="294"/>
    </row>
    <row r="10" spans="2:12">
      <c r="B10" s="246" t="s">
        <v>38</v>
      </c>
      <c r="C10" s="246"/>
      <c r="D10" s="328" t="e">
        <f>'SEMESTRE N°1'!#REF!</f>
        <v>#REF!</v>
      </c>
      <c r="E10" s="329"/>
      <c r="F10" s="6" t="s">
        <v>29</v>
      </c>
      <c r="G10" s="294" t="e">
        <f>'SEMESTRE N°1'!#REF!</f>
        <v>#REF!</v>
      </c>
      <c r="H10" s="294"/>
      <c r="I10" s="294"/>
      <c r="J10" s="294"/>
      <c r="K10" s="294"/>
      <c r="L10" s="294"/>
    </row>
    <row r="11" spans="2:12">
      <c r="B11" s="6" t="s">
        <v>39</v>
      </c>
      <c r="C11" s="291" t="e">
        <f>'SEMESTRE N°1'!#REF!</f>
        <v>#REF!</v>
      </c>
      <c r="D11" s="292"/>
      <c r="E11" s="292"/>
      <c r="F11" s="6" t="s">
        <v>40</v>
      </c>
      <c r="G11" s="249"/>
      <c r="H11" s="249"/>
      <c r="I11" s="249"/>
      <c r="J11" s="249"/>
      <c r="K11" s="249"/>
      <c r="L11" s="249"/>
    </row>
    <row r="12" spans="2:12">
      <c r="B12" s="6" t="s">
        <v>41</v>
      </c>
      <c r="C12" s="305" t="e">
        <f>'SEMESTRE N°1'!#REF!</f>
        <v>#REF!</v>
      </c>
      <c r="D12" s="294"/>
      <c r="E12" s="294"/>
      <c r="F12" s="6" t="s">
        <v>42</v>
      </c>
      <c r="G12" s="249"/>
      <c r="H12" s="249"/>
      <c r="I12" s="249"/>
      <c r="J12" s="249"/>
      <c r="K12" s="249"/>
      <c r="L12" s="249"/>
    </row>
    <row r="13" spans="2:12">
      <c r="B13" s="281" t="s">
        <v>43</v>
      </c>
      <c r="C13" s="281"/>
      <c r="D13" s="281"/>
      <c r="E13" s="282" t="s">
        <v>17</v>
      </c>
      <c r="F13" s="283"/>
      <c r="G13" s="240" t="s">
        <v>44</v>
      </c>
      <c r="H13" s="240"/>
      <c r="I13" s="240"/>
      <c r="J13" s="240"/>
      <c r="K13" s="240"/>
      <c r="L13" s="469"/>
    </row>
    <row r="14" spans="2:12">
      <c r="B14" s="281"/>
      <c r="C14" s="281"/>
      <c r="D14" s="281"/>
      <c r="E14" s="282"/>
      <c r="F14" s="283"/>
      <c r="G14" s="240" t="s">
        <v>45</v>
      </c>
      <c r="H14" s="240"/>
      <c r="I14" s="240"/>
      <c r="J14" s="7" t="s">
        <v>46</v>
      </c>
      <c r="K14" s="7"/>
      <c r="L14" s="469" t="s">
        <v>47</v>
      </c>
    </row>
    <row r="15" spans="2:12">
      <c r="B15" s="233" t="s">
        <v>48</v>
      </c>
      <c r="C15" s="273" t="s">
        <v>49</v>
      </c>
      <c r="D15" s="273"/>
      <c r="E15" s="272" t="s">
        <v>49</v>
      </c>
      <c r="F15" s="272" t="s">
        <v>50</v>
      </c>
      <c r="G15" s="2" t="s">
        <v>51</v>
      </c>
      <c r="H15" s="272" t="s">
        <v>52</v>
      </c>
      <c r="I15" s="272"/>
      <c r="J15" s="272" t="s">
        <v>17</v>
      </c>
      <c r="K15" s="272"/>
      <c r="L15" s="469"/>
    </row>
    <row r="16" spans="2:12">
      <c r="B16" s="234"/>
      <c r="C16" s="272"/>
      <c r="D16" s="274"/>
      <c r="E16" s="272"/>
      <c r="F16" s="272"/>
      <c r="G16" s="60" t="s">
        <v>53</v>
      </c>
      <c r="H16" s="60" t="s">
        <v>53</v>
      </c>
      <c r="I16" s="60" t="s">
        <v>50</v>
      </c>
      <c r="J16" s="60" t="s">
        <v>53</v>
      </c>
      <c r="K16" s="60" t="s">
        <v>50</v>
      </c>
      <c r="L16" s="469"/>
    </row>
    <row r="17" spans="2:12" ht="17.399999999999999" customHeight="1">
      <c r="B17" s="234"/>
      <c r="C17" s="450" t="s">
        <v>54</v>
      </c>
      <c r="D17" s="466" t="s">
        <v>55</v>
      </c>
      <c r="E17" s="8" t="s">
        <v>56</v>
      </c>
      <c r="F17" s="9">
        <v>3</v>
      </c>
      <c r="G17" s="4" t="e">
        <f>'SEMESTRE N°1'!#REF!</f>
        <v>#REF!</v>
      </c>
      <c r="H17" s="453" t="e">
        <f>ROUND((F17*G17+F18*G18)/(F17+F18),2)</f>
        <v>#REF!</v>
      </c>
      <c r="I17" s="453" t="e">
        <f>IF(H17&gt;9.99,(F17+F18),0)</f>
        <v>#REF!</v>
      </c>
      <c r="J17" s="10"/>
      <c r="K17" s="447"/>
      <c r="L17" s="467" t="e">
        <f>IF(H17&gt;10,"Validé","Non validé")</f>
        <v>#REF!</v>
      </c>
    </row>
    <row r="18" spans="2:12" ht="18.899999999999999" customHeight="1">
      <c r="B18" s="234"/>
      <c r="C18" s="450"/>
      <c r="D18" s="472"/>
      <c r="E18" s="8" t="s">
        <v>57</v>
      </c>
      <c r="F18" s="9">
        <v>3</v>
      </c>
      <c r="G18" s="4" t="e">
        <f>'SEMESTRE N°1'!#REF!</f>
        <v>#REF!</v>
      </c>
      <c r="H18" s="454"/>
      <c r="I18" s="453"/>
      <c r="J18" s="10"/>
      <c r="K18" s="372"/>
      <c r="L18" s="468"/>
    </row>
    <row r="19" spans="2:12">
      <c r="B19" s="234"/>
      <c r="C19" s="455" t="s">
        <v>58</v>
      </c>
      <c r="D19" s="466" t="s">
        <v>59</v>
      </c>
      <c r="E19" s="8" t="s">
        <v>60</v>
      </c>
      <c r="F19" s="9">
        <v>5</v>
      </c>
      <c r="G19" s="4" t="e">
        <f>'SEMESTRE N°1'!#REF!</f>
        <v>#REF!</v>
      </c>
      <c r="H19" s="453" t="e">
        <f>ROUND((F19*G19+F20*G20+F21*G21)/(F19+F20+F21),2)</f>
        <v>#REF!</v>
      </c>
      <c r="I19" s="453" t="e">
        <f>IF(H19&gt;9.99,(F19+F20+F21),0)</f>
        <v>#REF!</v>
      </c>
      <c r="J19" s="10"/>
      <c r="K19" s="447"/>
      <c r="L19" s="467" t="e">
        <f>IF(H19&gt;10,"Validé","Non validé")</f>
        <v>#REF!</v>
      </c>
    </row>
    <row r="20" spans="2:12">
      <c r="B20" s="234"/>
      <c r="C20" s="455"/>
      <c r="D20" s="466"/>
      <c r="E20" s="8" t="s">
        <v>61</v>
      </c>
      <c r="F20" s="9">
        <v>3</v>
      </c>
      <c r="G20" s="4" t="e">
        <f>'SEMESTRE N°1'!#REF!</f>
        <v>#REF!</v>
      </c>
      <c r="H20" s="454"/>
      <c r="I20" s="453"/>
      <c r="J20" s="10"/>
      <c r="K20" s="459"/>
      <c r="L20" s="470"/>
    </row>
    <row r="21" spans="2:12" ht="15" customHeight="1">
      <c r="B21" s="234"/>
      <c r="C21" s="455"/>
      <c r="D21" s="466"/>
      <c r="E21" s="8" t="s">
        <v>62</v>
      </c>
      <c r="F21" s="9">
        <v>3</v>
      </c>
      <c r="G21" s="4" t="e">
        <f>'SEMESTRE N°1'!#REF!</f>
        <v>#REF!</v>
      </c>
      <c r="H21" s="454"/>
      <c r="I21" s="453"/>
      <c r="J21" s="10"/>
      <c r="K21" s="372"/>
      <c r="L21" s="471"/>
    </row>
    <row r="22" spans="2:12" ht="18.600000000000001" customHeight="1">
      <c r="B22" s="234"/>
      <c r="C22" s="450" t="s">
        <v>63</v>
      </c>
      <c r="D22" s="466" t="s">
        <v>64</v>
      </c>
      <c r="E22" s="8" t="s">
        <v>65</v>
      </c>
      <c r="F22" s="9">
        <v>4</v>
      </c>
      <c r="G22" s="4" t="e">
        <f>'SEMESTRE N°1'!#REF!</f>
        <v>#REF!</v>
      </c>
      <c r="H22" s="453" t="e">
        <f>ROUND((G22*F22+G23*F23)/(F22+F23),2)</f>
        <v>#REF!</v>
      </c>
      <c r="I22" s="453" t="e">
        <f>IF(H22&gt;9.99,(F22+F23),0)</f>
        <v>#REF!</v>
      </c>
      <c r="J22" s="10"/>
      <c r="K22" s="447"/>
      <c r="L22" s="467" t="e">
        <f>IF(H22&gt;9.99,"Validé","Non validé")</f>
        <v>#REF!</v>
      </c>
    </row>
    <row r="23" spans="2:12" ht="19.5" customHeight="1">
      <c r="B23" s="234"/>
      <c r="C23" s="450"/>
      <c r="D23" s="466"/>
      <c r="E23" s="8" t="s">
        <v>66</v>
      </c>
      <c r="F23" s="9">
        <v>4</v>
      </c>
      <c r="G23" s="4" t="e">
        <f>'SEMESTRE N°1'!#REF!</f>
        <v>#REF!</v>
      </c>
      <c r="H23" s="454"/>
      <c r="I23" s="453"/>
      <c r="J23" s="10"/>
      <c r="K23" s="372"/>
      <c r="L23" s="468"/>
    </row>
    <row r="24" spans="2:12" ht="17.399999999999999" customHeight="1">
      <c r="B24" s="234"/>
      <c r="C24" s="455" t="s">
        <v>67</v>
      </c>
      <c r="D24" s="466" t="s">
        <v>68</v>
      </c>
      <c r="E24" s="8" t="s">
        <v>69</v>
      </c>
      <c r="F24" s="9">
        <v>2</v>
      </c>
      <c r="G24" s="4" t="e">
        <f>'SEMESTRE N°1'!#REF!</f>
        <v>#REF!</v>
      </c>
      <c r="H24" s="453" t="e">
        <f>ROUND((G24*F24+G25*F25)/(F24+F25),2)</f>
        <v>#REF!</v>
      </c>
      <c r="I24" s="453" t="e">
        <f>IF(H24&gt;9.99,(F24+F25),0)</f>
        <v>#REF!</v>
      </c>
      <c r="J24" s="10"/>
      <c r="K24" s="447"/>
      <c r="L24" s="467" t="e">
        <f>IF(H24&gt;0,"Validé","Non validé")</f>
        <v>#REF!</v>
      </c>
    </row>
    <row r="25" spans="2:12" ht="24.6" customHeight="1">
      <c r="B25" s="234"/>
      <c r="C25" s="455"/>
      <c r="D25" s="466"/>
      <c r="E25" s="8" t="s">
        <v>70</v>
      </c>
      <c r="F25" s="9">
        <v>3</v>
      </c>
      <c r="G25" s="4" t="e">
        <f>'SEMESTRE N°1'!#REF!</f>
        <v>#REF!</v>
      </c>
      <c r="H25" s="454"/>
      <c r="I25" s="453"/>
      <c r="J25" s="10"/>
      <c r="K25" s="372"/>
      <c r="L25" s="468"/>
    </row>
    <row r="26" spans="2:12">
      <c r="B26" s="234"/>
      <c r="C26" s="284" t="s">
        <v>71</v>
      </c>
      <c r="D26" s="285"/>
      <c r="E26" s="284"/>
      <c r="F26" s="19">
        <f>F17+F18+F19+F20+F21+F22+F23+F24+F25</f>
        <v>30</v>
      </c>
      <c r="G26" s="3"/>
      <c r="H26" s="58" t="e">
        <f>ROUND((H17+H19+H22+H24)/4,2)</f>
        <v>#REF!</v>
      </c>
      <c r="I26" s="20" t="e">
        <f>I24+I22+I19+I17</f>
        <v>#REF!</v>
      </c>
      <c r="J26" s="445"/>
      <c r="K26" s="445"/>
      <c r="L26" s="465"/>
    </row>
    <row r="27" spans="2:12">
      <c r="C27" s="11"/>
      <c r="G27" s="11"/>
    </row>
    <row r="28" spans="2:12" ht="18">
      <c r="B28" s="392" t="s">
        <v>72</v>
      </c>
      <c r="C28" s="393"/>
      <c r="D28" s="21" t="e">
        <f>I17+I19+I22+I24</f>
        <v>#REF!</v>
      </c>
      <c r="E28" s="12"/>
      <c r="F28" s="13"/>
      <c r="G28" s="14"/>
      <c r="H28" s="15"/>
      <c r="I28" s="398" t="s">
        <v>73</v>
      </c>
      <c r="J28" s="398"/>
      <c r="K28" s="398"/>
      <c r="L28" s="398"/>
    </row>
    <row r="29" spans="2:12">
      <c r="B29" s="394" t="s">
        <v>74</v>
      </c>
      <c r="C29" s="395"/>
      <c r="D29" s="22" t="e">
        <f>IF(D28=F26,"Semestre validé","Semestre non validé")</f>
        <v>#REF!</v>
      </c>
      <c r="E29" s="13"/>
      <c r="F29" s="13"/>
      <c r="G29" s="16"/>
      <c r="L29" s="13"/>
    </row>
    <row r="30" spans="2:12">
      <c r="B30" s="394" t="s">
        <v>75</v>
      </c>
      <c r="C30" s="395"/>
      <c r="D30" s="1">
        <v>0</v>
      </c>
      <c r="E30" s="13"/>
      <c r="F30" s="13"/>
      <c r="G30" s="16"/>
      <c r="H30" s="13"/>
      <c r="I30" s="13"/>
      <c r="J30" s="13"/>
    </row>
    <row r="31" spans="2:12">
      <c r="C31" s="16"/>
      <c r="D31" s="13"/>
      <c r="E31" s="13"/>
      <c r="F31" s="13"/>
      <c r="G31" s="16"/>
      <c r="H31" s="13"/>
      <c r="I31" s="13"/>
      <c r="J31" s="13"/>
    </row>
    <row r="32" spans="2:12" ht="18">
      <c r="C32" s="16"/>
      <c r="D32" s="13"/>
      <c r="E32" s="13"/>
      <c r="F32" s="13"/>
      <c r="G32" s="17"/>
      <c r="H32" s="13"/>
      <c r="I32" s="13"/>
      <c r="J32" s="13"/>
    </row>
    <row r="33" spans="2:13" ht="18">
      <c r="C33" s="11"/>
      <c r="G33" s="461" t="s">
        <v>76</v>
      </c>
      <c r="H33" s="461"/>
      <c r="I33" s="461"/>
      <c r="J33" s="461"/>
      <c r="K33" s="461"/>
      <c r="L33" s="461"/>
      <c r="M33" s="461"/>
    </row>
    <row r="34" spans="2:13">
      <c r="C34" s="11"/>
      <c r="G34" s="11"/>
    </row>
    <row r="35" spans="2:13">
      <c r="B35" s="442" t="s">
        <v>77</v>
      </c>
      <c r="C35" s="443"/>
      <c r="D35" s="443"/>
      <c r="E35" s="443"/>
      <c r="F35" s="443"/>
      <c r="G35" s="443"/>
      <c r="H35" s="443"/>
      <c r="I35" s="443"/>
      <c r="J35" s="443"/>
      <c r="K35" s="443"/>
      <c r="L35" s="443"/>
    </row>
    <row r="36" spans="2:13">
      <c r="B36" s="443"/>
      <c r="C36" s="443"/>
      <c r="D36" s="443"/>
      <c r="E36" s="443"/>
      <c r="F36" s="443"/>
      <c r="G36" s="443"/>
      <c r="H36" s="443"/>
      <c r="I36" s="443"/>
      <c r="J36" s="443"/>
      <c r="K36" s="443"/>
      <c r="L36" s="443"/>
    </row>
    <row r="37" spans="2:13" hidden="1">
      <c r="B37" s="18" t="s">
        <v>78</v>
      </c>
    </row>
  </sheetData>
  <sheetProtection algorithmName="SHA-512" hashValue="lk/xQ1f/DueyHYVvMmpKpERS/WdkDoTbmnmYXpsbnMoms3wDDeqG8XVb9/dysp5xpR3B2ocMcyySqDsvrQ3RrQ==" saltValue="S/L3n7Ref9mn4G48e9P2Cg==" spinCount="100000" sheet="1" objects="1" scenarios="1"/>
  <mergeCells count="53">
    <mergeCell ref="G33:M33"/>
    <mergeCell ref="B35:L36"/>
    <mergeCell ref="J15:K15"/>
    <mergeCell ref="L17:L18"/>
    <mergeCell ref="B7:L7"/>
    <mergeCell ref="C9:E9"/>
    <mergeCell ref="G9:L9"/>
    <mergeCell ref="B10:C10"/>
    <mergeCell ref="D10:E10"/>
    <mergeCell ref="G10:L10"/>
    <mergeCell ref="H22:H23"/>
    <mergeCell ref="I22:I23"/>
    <mergeCell ref="C11:E11"/>
    <mergeCell ref="G11:L11"/>
    <mergeCell ref="C12:E12"/>
    <mergeCell ref="G12:L12"/>
    <mergeCell ref="B13:D14"/>
    <mergeCell ref="E13:F14"/>
    <mergeCell ref="G13:L13"/>
    <mergeCell ref="G14:I14"/>
    <mergeCell ref="L14:L16"/>
    <mergeCell ref="B15:B26"/>
    <mergeCell ref="C15:D16"/>
    <mergeCell ref="E15:E16"/>
    <mergeCell ref="F15:F16"/>
    <mergeCell ref="H15:I15"/>
    <mergeCell ref="L19:L21"/>
    <mergeCell ref="C17:C18"/>
    <mergeCell ref="D17:D18"/>
    <mergeCell ref="H17:H18"/>
    <mergeCell ref="I17:I18"/>
    <mergeCell ref="K17:K18"/>
    <mergeCell ref="C19:C21"/>
    <mergeCell ref="D19:D21"/>
    <mergeCell ref="H19:H21"/>
    <mergeCell ref="I19:I21"/>
    <mergeCell ref="K19:K21"/>
    <mergeCell ref="K22:K23"/>
    <mergeCell ref="B30:C30"/>
    <mergeCell ref="C24:C25"/>
    <mergeCell ref="D24:D25"/>
    <mergeCell ref="H24:H25"/>
    <mergeCell ref="I24:I25"/>
    <mergeCell ref="I28:L28"/>
    <mergeCell ref="C26:E26"/>
    <mergeCell ref="J26:L26"/>
    <mergeCell ref="B28:C28"/>
    <mergeCell ref="B29:C29"/>
    <mergeCell ref="K24:K25"/>
    <mergeCell ref="L24:L25"/>
    <mergeCell ref="L22:L23"/>
    <mergeCell ref="C22:C23"/>
    <mergeCell ref="D22:D23"/>
  </mergeCells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42</vt:i4>
      </vt:variant>
    </vt:vector>
  </HeadingPairs>
  <TitlesOfParts>
    <vt:vector size="42" baseType="lpstr">
      <vt:lpstr>SEMESTRE N°1</vt:lpstr>
      <vt:lpstr>BULL_N0</vt:lpstr>
      <vt:lpstr>BULL_N1</vt:lpstr>
      <vt:lpstr>BULL_N2</vt:lpstr>
      <vt:lpstr>BULL_N3</vt:lpstr>
      <vt:lpstr>BULL_N4</vt:lpstr>
      <vt:lpstr>BULL_N5</vt:lpstr>
      <vt:lpstr>BULL_N6</vt:lpstr>
      <vt:lpstr>BULL_N7</vt:lpstr>
      <vt:lpstr>BULL_N8</vt:lpstr>
      <vt:lpstr>BULL_N9</vt:lpstr>
      <vt:lpstr>BULL_N10</vt:lpstr>
      <vt:lpstr>BULL_N11</vt:lpstr>
      <vt:lpstr>BULL_N12</vt:lpstr>
      <vt:lpstr>BULL_N13</vt:lpstr>
      <vt:lpstr>BULL_N14</vt:lpstr>
      <vt:lpstr>BULL_N15</vt:lpstr>
      <vt:lpstr>BULL_N16</vt:lpstr>
      <vt:lpstr>BULL_N17</vt:lpstr>
      <vt:lpstr>BULL_N18</vt:lpstr>
      <vt:lpstr>BULL_N19</vt:lpstr>
      <vt:lpstr>BULL_N20</vt:lpstr>
      <vt:lpstr>BULL_N21</vt:lpstr>
      <vt:lpstr>BULL_N22</vt:lpstr>
      <vt:lpstr>BULL_N23</vt:lpstr>
      <vt:lpstr>BULL_N24</vt:lpstr>
      <vt:lpstr>BULL_N25</vt:lpstr>
      <vt:lpstr>BULL_N26</vt:lpstr>
      <vt:lpstr>BULL_N27</vt:lpstr>
      <vt:lpstr>BULL_N28</vt:lpstr>
      <vt:lpstr>BULL_N29</vt:lpstr>
      <vt:lpstr>BULL_N30</vt:lpstr>
      <vt:lpstr>BULL_N31</vt:lpstr>
      <vt:lpstr>BULL_N32</vt:lpstr>
      <vt:lpstr>BULL_N33</vt:lpstr>
      <vt:lpstr>BULL_N34</vt:lpstr>
      <vt:lpstr>BULL_N35</vt:lpstr>
      <vt:lpstr>BULL_N36</vt:lpstr>
      <vt:lpstr>BULL_N37</vt:lpstr>
      <vt:lpstr>BULL_N38</vt:lpstr>
      <vt:lpstr>BULL_N39</vt:lpstr>
      <vt:lpstr>BULL_N40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Yan Mabaka</cp:lastModifiedBy>
  <cp:revision/>
  <cp:lastPrinted>2025-11-06T09:27:21Z</cp:lastPrinted>
  <dcterms:created xsi:type="dcterms:W3CDTF">2022-12-12T14:09:35Z</dcterms:created>
  <dcterms:modified xsi:type="dcterms:W3CDTF">2025-11-10T10:21:25Z</dcterms:modified>
  <cp:category/>
  <cp:contentStatus/>
</cp:coreProperties>
</file>